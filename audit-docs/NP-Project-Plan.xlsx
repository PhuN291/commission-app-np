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INDEX" sheetId="1" state="visible" r:id="rId3"/>
    <sheet name="1. Charter" sheetId="2" state="visible" r:id="rId4"/>
    <sheet name="2. Stakeholders" sheetId="3" state="visible" r:id="rId5"/>
    <sheet name="3. AS-IS" sheetId="4" state="visible" r:id="rId6"/>
    <sheet name="4. Problem &amp; Scope" sheetId="5" state="visible" r:id="rId7"/>
    <sheet name="5. User Journey" sheetId="6" state="visible" r:id="rId8"/>
    <sheet name="6. Spec &amp; Arch" sheetId="7" state="visible" r:id="rId9"/>
    <sheet name="7. Build &amp; QA" sheetId="8" state="visible" r:id="rId10"/>
    <sheet name="8. UAT &amp; Change" sheetId="9" state="visible" r:id="rId11"/>
    <sheet name="9. Cutover" sheetId="10" state="visible" r:id="rId12"/>
    <sheet name="10. Benefits &amp; Closure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<sst xmlns="http://schemas.openxmlformats.org/spreadsheetml/2006/main" count="1902" uniqueCount="1004">
  <si>
    <t xml:space="preserve">NP COMMISSION APP - PROJECT PLAN</t>
  </si>
  <si>
    <t xml:space="preserve">Tinh gọn 10 bước theo BABOK + Change Management. Cập nhật: 2026-05-14</t>
  </si>
  <si>
    <t xml:space="preserve">#</t>
  </si>
  <si>
    <t xml:space="preserve">Phase</t>
  </si>
  <si>
    <t xml:space="preserve">Bước</t>
  </si>
  <si>
    <t xml:space="preserve">Deliverable chính</t>
  </si>
  <si>
    <t xml:space="preserve">Status</t>
  </si>
  <si>
    <t xml:space="preserve">Owner</t>
  </si>
  <si>
    <t xml:space="preserve">Deadline</t>
  </si>
  <si>
    <t xml:space="preserve">Tab</t>
  </si>
  <si>
    <t xml:space="preserve">Khởi động</t>
  </si>
  <si>
    <t xml:space="preserve">Project Charter</t>
  </si>
  <si>
    <t xml:space="preserve">Charter 1 trang (mục tiêu, scope, timeline, RACI)</t>
  </si>
  <si>
    <t xml:space="preserve">TODO</t>
  </si>
  <si>
    <t xml:space="preserve">Phú + BA</t>
  </si>
  <si>
    <t xml:space="preserve">2026-05-21</t>
  </si>
  <si>
    <t xml:space="preserve">1. Charter</t>
  </si>
  <si>
    <t xml:space="preserve">Stakeholder Map</t>
  </si>
  <si>
    <t xml:space="preserve">Stakeholder list + RACI matrix</t>
  </si>
  <si>
    <t xml:space="preserve">BA</t>
  </si>
  <si>
    <t xml:space="preserve">2. Stakeholders</t>
  </si>
  <si>
    <t xml:space="preserve">Hiểu vấn đề</t>
  </si>
  <si>
    <t xml:space="preserve">AS-IS Discovery</t>
  </si>
  <si>
    <t xml:space="preserve">Interview Diễm + Hà, AS-IS process, baseline</t>
  </si>
  <si>
    <t xml:space="preserve">Phú phỏng vấn</t>
  </si>
  <si>
    <t xml:space="preserve">2026-05-23</t>
  </si>
  <si>
    <t xml:space="preserve">3. AS-IS</t>
  </si>
  <si>
    <t xml:space="preserve">Problem Statement &amp; Scope v1</t>
  </si>
  <si>
    <t xml:space="preserve">PSD 1 file, success criteria, scope IN/OUT</t>
  </si>
  <si>
    <t xml:space="preserve">BA + Nguyên duyệt</t>
  </si>
  <si>
    <t xml:space="preserve">2026-05-26</t>
  </si>
  <si>
    <t xml:space="preserve">4. Problem &amp; Scope</t>
  </si>
  <si>
    <t xml:space="preserve">Thiết kế</t>
  </si>
  <si>
    <t xml:space="preserve">User Journey TO-BE</t>
  </si>
  <si>
    <t xml:space="preserve">Journey map 5 persona end-to-end</t>
  </si>
  <si>
    <t xml:space="preserve">2026-05-28</t>
  </si>
  <si>
    <t xml:space="preserve">5. User Journey</t>
  </si>
  <si>
    <t xml:space="preserve">Functional Spec &amp; Architecture</t>
  </si>
  <si>
    <t xml:space="preserve">Rules + Screen + ADR + Traceability</t>
  </si>
  <si>
    <t xml:space="preserve">IN PROGRESS</t>
  </si>
  <si>
    <t xml:space="preserve">BA + Dev</t>
  </si>
  <si>
    <t xml:space="preserve">2026-05-30</t>
  </si>
  <si>
    <t xml:space="preserve">6. Spec &amp; Arch</t>
  </si>
  <si>
    <t xml:space="preserve">Xây dựng</t>
  </si>
  <si>
    <t xml:space="preserve">Build + Internal QA</t>
  </si>
  <si>
    <t xml:space="preserve">Code + Test plan + Bug log. Còn 3 P0 + 7 P1</t>
  </si>
  <si>
    <t xml:space="preserve">Dev + Phú</t>
  </si>
  <si>
    <t xml:space="preserve">2026-06-05</t>
  </si>
  <si>
    <t xml:space="preserve">7. Build &amp; QA</t>
  </si>
  <si>
    <t xml:space="preserve">Validate + Change</t>
  </si>
  <si>
    <t xml:space="preserve">UAT + Change Management</t>
  </si>
  <si>
    <t xml:space="preserve">UAT plan + Training + Run-book</t>
  </si>
  <si>
    <t xml:space="preserve">Phú + NP</t>
  </si>
  <si>
    <t xml:space="preserve">2026-06-20</t>
  </si>
  <si>
    <t xml:space="preserve">8. UAT &amp; Change</t>
  </si>
  <si>
    <t xml:space="preserve">Go-live</t>
  </si>
  <si>
    <t xml:space="preserve">Cutover + Hypercare</t>
  </si>
  <si>
    <t xml:space="preserve">Cutover checklist + 30 ngày hypercare</t>
  </si>
  <si>
    <t xml:space="preserve">Phú + Dev</t>
  </si>
  <si>
    <t xml:space="preserve">2026-07-05</t>
  </si>
  <si>
    <t xml:space="preserve">9. Cutover</t>
  </si>
  <si>
    <t xml:space="preserve">Bàn giao</t>
  </si>
  <si>
    <t xml:space="preserve">Benefits Realization &amp; Closure</t>
  </si>
  <si>
    <t xml:space="preserve">KPI 30/60/90 + Lessons + Closure</t>
  </si>
  <si>
    <t xml:space="preserve">Phú + Nguyên</t>
  </si>
  <si>
    <t xml:space="preserve">2026-10-05</t>
  </si>
  <si>
    <t xml:space="preserve">10. Benefits &amp; Closure</t>
  </si>
  <si>
    <t xml:space="preserve">Status color:</t>
  </si>
  <si>
    <t xml:space="preserve">DONE</t>
  </si>
  <si>
    <t xml:space="preserve">BLOCKED</t>
  </si>
  <si>
    <t xml:space="preserve">Cách dùng file:</t>
  </si>
  <si>
    <t xml:space="preserve">1. Tab này là tổng quan. Click tên tab dưới để vào từng bước.</t>
  </si>
  <si>
    <t xml:space="preserve">2. Mỗi tab có 3-5 phần ngắn. Đọc từ trên xuống.</t>
  </si>
  <si>
    <t xml:space="preserve">3. Cập nhật Status, Owner, Deadline thường xuyên khi tiến triển.</t>
  </si>
  <si>
    <t xml:space="preserve">4. Ô có ghi 'TBD' = cần phỏng vấn NP hoặc anh Nguyên duyệt mới điền được.</t>
  </si>
  <si>
    <t xml:space="preserve">5. Tài liệu chi tiết (B1-B7, BPMN, screen specs) vẫn để trong cùng folder audit-docs/, file này là tổng kết.</t>
  </si>
  <si>
    <t xml:space="preserve">BƯỚC 1: PROJECT CHARTER</t>
  </si>
  <si>
    <t xml:space="preserve">Khung sườn dự án. Anh Phú + anh Nguyên cùng duyệt.</t>
  </si>
  <si>
    <t xml:space="preserve">A. Thông tin dự án</t>
  </si>
  <si>
    <t xml:space="preserve">Tên dự án</t>
  </si>
  <si>
    <t xml:space="preserve">NP Commission App (App Hoa Hồng cho Phòng khám Nguyên Phương)</t>
  </si>
  <si>
    <t xml:space="preserve">Code project</t>
  </si>
  <si>
    <t xml:space="preserve">NP-AppHH</t>
  </si>
  <si>
    <t xml:space="preserve">Khách hàng</t>
  </si>
  <si>
    <t xml:space="preserve">Phòng khám Nguyên Phương (NP Clinic)</t>
  </si>
  <si>
    <t xml:space="preserve">Vendor</t>
  </si>
  <si>
    <t xml:space="preserve">1PDM Agency</t>
  </si>
  <si>
    <t xml:space="preserve">Project Sponsor</t>
  </si>
  <si>
    <t xml:space="preserve">Anh Nguyên (CEO NP)</t>
  </si>
  <si>
    <t xml:space="preserve">Project Manager</t>
  </si>
  <si>
    <t xml:space="preserve">Anh Phú (CEO 1PDM)</t>
  </si>
  <si>
    <t xml:space="preserve">AI (Claude) + Anh Phú review</t>
  </si>
  <si>
    <t xml:space="preserve">Dev team</t>
  </si>
  <si>
    <t xml:space="preserve">1PDM (1-2 dev)</t>
  </si>
  <si>
    <t xml:space="preserve">End user</t>
  </si>
  <si>
    <t xml:space="preserve">5 NV NP: 3 Sale (Lan, Hằng, Trang) + 1 TC (Hà) + 1 KT (Diễm) + 3 BS (Minh, Hằng-D, Vinh)</t>
  </si>
  <si>
    <t xml:space="preserve">Ngày khởi động</t>
  </si>
  <si>
    <t xml:space="preserve">2026-04-XX (TBD - điền ngày anh và anh Nguyên agree dự án)</t>
  </si>
  <si>
    <t xml:space="preserve">Charter version</t>
  </si>
  <si>
    <t xml:space="preserve">v0.1 draft - chờ anh Nguyên duyệt</t>
  </si>
  <si>
    <t xml:space="preserve">B. Mục tiêu kinh doanh</t>
  </si>
  <si>
    <t xml:space="preserve">G1. Tự động hóa tính HH cho 5 NV NP, giảm thời gian Diễm tính HH thủ công từ TBD giờ/tháng xuống ≤ 30 phút/tháng</t>
  </si>
  <si>
    <t xml:space="preserve">G2. Giảm sai sót tính HH từ TBD% xuống ≤ 1%</t>
  </si>
  <si>
    <t xml:space="preserve">G3. NV tự kiểm tra HH trên app, giảm khiếu nại không cần thiết</t>
  </si>
  <si>
    <t xml:space="preserve">G4. Có dashboard cho anh Nguyên xem doanh thu + HH theo realtime</t>
  </si>
  <si>
    <t xml:space="preserve">G5. Tạo case study + sản phẩm SaaS hóa cho 1PDM bán cho phòng khám khác</t>
  </si>
  <si>
    <t xml:space="preserve">C. Phạm vi v1 (Scope IN)</t>
  </si>
  <si>
    <t xml:space="preserve">IN: Auto tính HH theo rule cấu hình (tier %, base, role)</t>
  </si>
  <si>
    <t xml:space="preserve">IN: Pay cycle ngày 5: Diễm duyệt trong app, không xuất Excel</t>
  </si>
  <si>
    <t xml:space="preserve">IN: Khiếu nại 3 ngày từ NV qua app</t>
  </si>
  <si>
    <t xml:space="preserve">IN: Clawback 30 ngày khi đơn hoàn/refund</t>
  </si>
  <si>
    <t xml:space="preserve">IN: Dashboard CEO realtime</t>
  </si>
  <si>
    <t xml:space="preserve">IN: Quản lý NV, customer, service catalog</t>
  </si>
  <si>
    <t xml:space="preserve">IN: Auto rule HH tự cấu hình (anh Nguyên + Diễm config)</t>
  </si>
  <si>
    <t xml:space="preserve">IN: Ranking NV theo tháng</t>
  </si>
  <si>
    <t xml:space="preserve">IN: Notification Zalo OA khi có sự kiện quan trọng</t>
  </si>
  <si>
    <t xml:space="preserve">IN: Permission matrix 5 role (Sale, TC, BS, KT, CEO)</t>
  </si>
  <si>
    <t xml:space="preserve">D. Ngoài phạm vi v1 (Scope OUT)</t>
  </si>
  <si>
    <t xml:space="preserve">OUT: iHOS webhook tích hợp realtime (v1 nhập tay từ Excel export iHOS, v1.5 mới tích hợp)</t>
  </si>
  <si>
    <t xml:space="preserve">OUT: Mobile app native (v1 dùng web responsive, mobile native sau)</t>
  </si>
  <si>
    <t xml:space="preserve">OUT: Multi-clinic (v1 chỉ NP, multi-tenant sau khi SaaS hóa)</t>
  </si>
  <si>
    <t xml:space="preserve">OUT: AI gợi ý HH (sau)</t>
  </si>
  <si>
    <t xml:space="preserve">OUT: Tích hợp ngân hàng tự động chuyển khoản HH (manual ở v1)</t>
  </si>
  <si>
    <t xml:space="preserve">OUT: Lương cứng + phụ cấp (chỉ HH, lương cứng vẫn dùng Excel)</t>
  </si>
  <si>
    <t xml:space="preserve">E. Timeline 3 mốc</t>
  </si>
  <si>
    <t xml:space="preserve">M1. Discovery + Spec đóng</t>
  </si>
  <si>
    <t xml:space="preserve">2026-05-30 (T+16 ngày từ hôm nay)</t>
  </si>
  <si>
    <t xml:space="preserve">M2. UAT bắt đầu</t>
  </si>
  <si>
    <t xml:space="preserve">M3. Go-live song song</t>
  </si>
  <si>
    <t xml:space="preserve">M4. Nghiệm thu</t>
  </si>
  <si>
    <t xml:space="preserve">2026-08-05 (sau 30 ngày song song)</t>
  </si>
  <si>
    <t xml:space="preserve">F. Constraints &amp; Assumptions</t>
  </si>
  <si>
    <t xml:space="preserve">Constraint 1</t>
  </si>
  <si>
    <t xml:space="preserve">NP scale 5 NV. Không over-engineer cho 50 NV.</t>
  </si>
  <si>
    <t xml:space="preserve">Constraint 2</t>
  </si>
  <si>
    <t xml:space="preserve">Dev team 1PDM 1-2 người. Capacity ~5 ngày/tuần.</t>
  </si>
  <si>
    <t xml:space="preserve">Constraint 3</t>
  </si>
  <si>
    <t xml:space="preserve">iHOS là vendor bên thứ 3, không control được API.</t>
  </si>
  <si>
    <t xml:space="preserve">Constraint 4</t>
  </si>
  <si>
    <t xml:space="preserve">Zalo OA cần đăng ký + duyệt 5-7 ngày.</t>
  </si>
  <si>
    <t xml:space="preserve">Assumption 1</t>
  </si>
  <si>
    <t xml:space="preserve">Anh Nguyên cam kết NP dùng app, không quay lại Excel.</t>
  </si>
  <si>
    <t xml:space="preserve">Assumption 2</t>
  </si>
  <si>
    <t xml:space="preserve">Diễm sẵn sàng làm super-user, training 2 giờ.</t>
  </si>
  <si>
    <t xml:space="preserve">Assumption 3</t>
  </si>
  <si>
    <t xml:space="preserve">iHOS đồng ý cho export/webhook trong vòng 2 tuần.</t>
  </si>
  <si>
    <t xml:space="preserve">G. Success Criteria (anh Nguyên duyệt)</t>
  </si>
  <si>
    <t xml:space="preserve">SC1. Thời gian Diễm tính HH ≤ 30 phút/tháng (baseline TBD)</t>
  </si>
  <si>
    <t xml:space="preserve">SC2. Tỉ lệ sai sót HH ≤ 1% (baseline TBD)</t>
  </si>
  <si>
    <t xml:space="preserve">SC3. ≥ 80% NV tự check HH qua app trong tháng đầu go-live</t>
  </si>
  <si>
    <t xml:space="preserve">SC4. Khiếu nại HH giảm ≥ 50% so với baseline (TBD)</t>
  </si>
  <si>
    <t xml:space="preserve">SC5. Anh Nguyên + Diễm rate trải nghiệm dùng app ≥ 8/10</t>
  </si>
  <si>
    <t xml:space="preserve">H. Charter approval</t>
  </si>
  <si>
    <t xml:space="preserve">Anh Phú (PM)</t>
  </si>
  <si>
    <t xml:space="preserve">Đã chuẩn bị draft</t>
  </si>
  <si>
    <t xml:space="preserve">Anh Nguyên (Sponsor)</t>
  </si>
  <si>
    <t xml:space="preserve">TODO - cần họp 60 phút duyệt</t>
  </si>
  <si>
    <t xml:space="preserve">Ngày duyệt</t>
  </si>
  <si>
    <t xml:space="preserve">TBD</t>
  </si>
  <si>
    <t xml:space="preserve">BƯỚC 2: STAKEHOLDER MAP + RACI</t>
  </si>
  <si>
    <t xml:space="preserve">A. Danh sách stakeholders</t>
  </si>
  <si>
    <t xml:space="preserve">Tên</t>
  </si>
  <si>
    <t xml:space="preserve">Role</t>
  </si>
  <si>
    <t xml:space="preserve">Power</t>
  </si>
  <si>
    <t xml:space="preserve">Interest</t>
  </si>
  <si>
    <t xml:space="preserve">Persona</t>
  </si>
  <si>
    <t xml:space="preserve">Engagement strategy</t>
  </si>
  <si>
    <t xml:space="preserve">Channel</t>
  </si>
  <si>
    <t xml:space="preserve">Anh Nguyên</t>
  </si>
  <si>
    <t xml:space="preserve">CEO NP, Sponsor</t>
  </si>
  <si>
    <t xml:space="preserve">High</t>
  </si>
  <si>
    <t xml:space="preserve">CEO</t>
  </si>
  <si>
    <t xml:space="preserve">Họp weekly, duyệt scope + KPI. Giữ tin tưởng.</t>
  </si>
  <si>
    <t xml:space="preserve">Họp trực tiếp + Zalo</t>
  </si>
  <si>
    <t xml:space="preserve">Diễm</t>
  </si>
  <si>
    <t xml:space="preserve">KT trưởng, Super-user</t>
  </si>
  <si>
    <t xml:space="preserve">Med</t>
  </si>
  <si>
    <t xml:space="preserve">KT</t>
  </si>
  <si>
    <t xml:space="preserve">Engage daily lúc UAT. Training 2 giờ. Cho quyền feedback sớm.</t>
  </si>
  <si>
    <t xml:space="preserve">Zalo + gọi</t>
  </si>
  <si>
    <t xml:space="preserve">Hà</t>
  </si>
  <si>
    <t xml:space="preserve">Trưởng ca</t>
  </si>
  <si>
    <t xml:space="preserve">Low</t>
  </si>
  <si>
    <t xml:space="preserve">TC</t>
  </si>
  <si>
    <t xml:space="preserve">Training 1 giờ. Để Diễm dẫn dắt.</t>
  </si>
  <si>
    <t xml:space="preserve">Zalo</t>
  </si>
  <si>
    <t xml:space="preserve">Lan</t>
  </si>
  <si>
    <t xml:space="preserve">Sale M2 (cao nhất)</t>
  </si>
  <si>
    <t xml:space="preserve">Sale</t>
  </si>
  <si>
    <t xml:space="preserve">Champion. Pilot user. Cho phản hồi sớm.</t>
  </si>
  <si>
    <t xml:space="preserve">Hằng</t>
  </si>
  <si>
    <t xml:space="preserve">Sale M1</t>
  </si>
  <si>
    <t xml:space="preserve">Train chung group.</t>
  </si>
  <si>
    <t xml:space="preserve">Trang</t>
  </si>
  <si>
    <t xml:space="preserve">Sale M0 (mới)</t>
  </si>
  <si>
    <t xml:space="preserve">Train chung. Hỗ trợ thêm nếu cần.</t>
  </si>
  <si>
    <t xml:space="preserve">Minh, Hằng-D, Vinh</t>
  </si>
  <si>
    <t xml:space="preserve">Bác sĩ</t>
  </si>
  <si>
    <t xml:space="preserve">BS</t>
  </si>
  <si>
    <t xml:space="preserve">Communication only, không cần train sâu.</t>
  </si>
  <si>
    <t xml:space="preserve">Zalo group</t>
  </si>
  <si>
    <t xml:space="preserve">Anh Phú</t>
  </si>
  <si>
    <t xml:space="preserve">PM 1PDM, BA</t>
  </si>
  <si>
    <t xml:space="preserve">Owner toàn bộ delivery.</t>
  </si>
  <si>
    <t xml:space="preserve">Daily</t>
  </si>
  <si>
    <t xml:space="preserve">Dev lead</t>
  </si>
  <si>
    <t xml:space="preserve">Dev 1PDM</t>
  </si>
  <si>
    <t xml:space="preserve">Daily standup. Standup không quá 15 phút.</t>
  </si>
  <si>
    <t xml:space="preserve">Zalo + ClickUp</t>
  </si>
  <si>
    <t xml:space="preserve">B. RACI matrix (R=Responsible, A=Accountable, C=Consulted, I=Informed)</t>
  </si>
  <si>
    <t xml:space="preserve">Hoạt động</t>
  </si>
  <si>
    <t xml:space="preserve">BA (AI)</t>
  </si>
  <si>
    <t xml:space="preserve">A</t>
  </si>
  <si>
    <t xml:space="preserve">R</t>
  </si>
  <si>
    <t xml:space="preserve">C</t>
  </si>
  <si>
    <t xml:space="preserve">I</t>
  </si>
  <si>
    <t xml:space="preserve">Interview Diễm + Hà</t>
  </si>
  <si>
    <t xml:space="preserve">A/R</t>
  </si>
  <si>
    <t xml:space="preserve">R (script)</t>
  </si>
  <si>
    <t xml:space="preserve">Problem Statement (PSD)</t>
  </si>
  <si>
    <t xml:space="preserve">C (duyệt)</t>
  </si>
  <si>
    <t xml:space="preserve">Success criteria / Scope v1</t>
  </si>
  <si>
    <t xml:space="preserve">A (duyệt)</t>
  </si>
  <si>
    <t xml:space="preserve">Functional Spec + Rules</t>
  </si>
  <si>
    <t xml:space="preserve">Build code</t>
  </si>
  <si>
    <t xml:space="preserve">Internal QA / Test Plan</t>
  </si>
  <si>
    <t xml:space="preserve">UAT execution</t>
  </si>
  <si>
    <t xml:space="preserve">R (lead UAT)</t>
  </si>
  <si>
    <t xml:space="preserve">Training NV</t>
  </si>
  <si>
    <t xml:space="preserve">Run-book</t>
  </si>
  <si>
    <t xml:space="preserve">Cutover go-live</t>
  </si>
  <si>
    <t xml:space="preserve">Hypercare 30 ngày</t>
  </si>
  <si>
    <t xml:space="preserve">KPI tracking 30/60/90</t>
  </si>
  <si>
    <t xml:space="preserve">Closure &amp; Nghiệm thu</t>
  </si>
  <si>
    <t xml:space="preserve">A (ký)</t>
  </si>
  <si>
    <t xml:space="preserve">C. Communication Plan</t>
  </si>
  <si>
    <t xml:space="preserve">Audience</t>
  </si>
  <si>
    <t xml:space="preserve">Frequency</t>
  </si>
  <si>
    <t xml:space="preserve">Content</t>
  </si>
  <si>
    <t xml:space="preserve">Email + Zalo</t>
  </si>
  <si>
    <t xml:space="preserve">Weekly</t>
  </si>
  <si>
    <t xml:space="preserve">Status, blocker, decision cần</t>
  </si>
  <si>
    <t xml:space="preserve">NP team (5 NV)</t>
  </si>
  <si>
    <t xml:space="preserve">2 lần/tuần</t>
  </si>
  <si>
    <t xml:space="preserve">Reminder, tip, FAQ</t>
  </si>
  <si>
    <t xml:space="preserve">Diễm (Super-user)</t>
  </si>
  <si>
    <t xml:space="preserve">Zalo 1-1</t>
  </si>
  <si>
    <t xml:space="preserve">Daily lúc UAT</t>
  </si>
  <si>
    <t xml:space="preserve">Bug + feedback nhanh</t>
  </si>
  <si>
    <t xml:space="preserve">Standup + ClickUp</t>
  </si>
  <si>
    <t xml:space="preserve">Blocker, ưu tiên</t>
  </si>
  <si>
    <t xml:space="preserve">Stakeholder mở rộng (vợ anh Nguyên, etc.)</t>
  </si>
  <si>
    <t xml:space="preserve">Email</t>
  </si>
  <si>
    <t xml:space="preserve">Khi có milestone</t>
  </si>
  <si>
    <t xml:space="preserve">Milestone update</t>
  </si>
  <si>
    <t xml:space="preserve">BƯỚC 3: AS-IS DISCOVERY</t>
  </si>
  <si>
    <t xml:space="preserve">Hiểu NP đang làm HH như thế nào HIỆN TẠI (chưa có app). CẦN PHỎNG VẤN.</t>
  </si>
  <si>
    <t xml:space="preserve">A. Interview script cho Diễm (KT trưởng) - 30 phút</t>
  </si>
  <si>
    <t xml:space="preserve">D1</t>
  </si>
  <si>
    <t xml:space="preserve">Hiện tại chị tính HH cho 5 NV bằng cách nào? Mở file gì, làm những bước nào? (yêu cầu chị mở file Excel của chị cho anh xem)</t>
  </si>
  <si>
    <t xml:space="preserve">D2</t>
  </si>
  <si>
    <t xml:space="preserve">Mỗi tháng chị mất bao lâu để tính HH cho 5 NV? Bao gồm cả lúc collect data từ iHOS, tính, gửi bảng cho NV, gửi cho anh Nguyên duyệt.</t>
  </si>
  <si>
    <t xml:space="preserve">D3</t>
  </si>
  <si>
    <t xml:space="preserve">Tháng vừa rồi có lỗi/sai sót gì khi tính HH không? Sai mấy lần? Sai ở khâu nào (lấy doanh thu, tính %, hay nhập sai)?</t>
  </si>
  <si>
    <t xml:space="preserve">D4</t>
  </si>
  <si>
    <t xml:space="preserve">NV có khiếu nại HH bao giờ không? Tháng vừa rồi mấy lần? Khiếu nại về cái gì cụ thể?</t>
  </si>
  <si>
    <t xml:space="preserve">D5</t>
  </si>
  <si>
    <t xml:space="preserve">Bước nào trong quy trình HH chị thấy khó nhất / tốn thời gian nhất / dễ sai nhất?</t>
  </si>
  <si>
    <t xml:space="preserve">D6</t>
  </si>
  <si>
    <t xml:space="preserve">Nếu có app, chị muốn app tự động cái gì đầu tiên?</t>
  </si>
  <si>
    <t xml:space="preserve">D7</t>
  </si>
  <si>
    <t xml:space="preserve">Có quy tắc HH nào hiện tại chị nghĩ cần điều chỉnh không? Ví dụ cap 10%, clawback 30 ngày OK chứ?</t>
  </si>
  <si>
    <t xml:space="preserve">D8</t>
  </si>
  <si>
    <t xml:space="preserve">Trên thang 1-10, hiện tại quy trình HH NP đang vận hành mức độ nào? Vì sao?</t>
  </si>
  <si>
    <t xml:space="preserve">D9</t>
  </si>
  <si>
    <t xml:space="preserve">Anh Nguyên duyệt HH bằng cách nào hiện tại? Họp hay xem file rồi OK?</t>
  </si>
  <si>
    <t xml:space="preserve">D10</t>
  </si>
  <si>
    <t xml:space="preserve">Khi NV nghỉ giữa tháng, hoàn đơn, đổi service, chị xử lý HH như thế nào?</t>
  </si>
  <si>
    <t xml:space="preserve">B. Interview script cho Hà (TC) - 15 phút</t>
  </si>
  <si>
    <t xml:space="preserve">H1</t>
  </si>
  <si>
    <t xml:space="preserve">Hiện tại chị xếp ca cho Sale, BS thế nào? Mở file gì, dùng tool nào?</t>
  </si>
  <si>
    <t xml:space="preserve">H2</t>
  </si>
  <si>
    <t xml:space="preserve">KCB hiện tại nhập ở đâu? Khi BS làm xong KCB, ai duyệt? Có lưu lại lịch sử không?</t>
  </si>
  <si>
    <t xml:space="preserve">H3</t>
  </si>
  <si>
    <t xml:space="preserve">Khi NV xin nghỉ giữa ca, đổi ca, chị xử lý sao?</t>
  </si>
  <si>
    <t xml:space="preserve">H4</t>
  </si>
  <si>
    <t xml:space="preserve">Pain point lớn nhất khi xếp ca / điều phối ca là gì?</t>
  </si>
  <si>
    <t xml:space="preserve">H5</t>
  </si>
  <si>
    <t xml:space="preserve">Nếu có app dispatch ca tự động, chị muốn app làm gì đầu tiên?</t>
  </si>
  <si>
    <t xml:space="preserve">C. Quick poll 3 Sale + 3 BS qua Zalo (3 câu)</t>
  </si>
  <si>
    <t xml:space="preserve">P1</t>
  </si>
  <si>
    <t xml:space="preserve">Tháng vừa rồi anh/chị có chắc chắn HH nhận được đúng không? Đã từng nghi ngờ HH sai bao giờ chưa?</t>
  </si>
  <si>
    <t xml:space="preserve">P2</t>
  </si>
  <si>
    <t xml:space="preserve">Nếu có app cho anh/chị tự xem HH realtime, anh/chị có dùng hằng ngày không?</t>
  </si>
  <si>
    <t xml:space="preserve">P3</t>
  </si>
  <si>
    <t xml:space="preserve">Trên thang 1-10, hài lòng với cách tính HH hiện tại?</t>
  </si>
  <si>
    <t xml:space="preserve">D. AS-IS Process (điền sau khi phỏng vấn)</t>
  </si>
  <si>
    <t xml:space="preserve">Step</t>
  </si>
  <si>
    <t xml:space="preserve">Người làm</t>
  </si>
  <si>
    <t xml:space="preserve">Tool / file</t>
  </si>
  <si>
    <t xml:space="preserve">Lấy data doanh thu cuối tháng</t>
  </si>
  <si>
    <t xml:space="preserve">iHOS export Excel</t>
  </si>
  <si>
    <t xml:space="preserve">Mở file tính HH</t>
  </si>
  <si>
    <t xml:space="preserve">Google Sheet 'HH-T-XX'</t>
  </si>
  <si>
    <t xml:space="preserve">Copy data + tính %</t>
  </si>
  <si>
    <t xml:space="preserve">Check chéo với NV</t>
  </si>
  <si>
    <t xml:space="preserve">Gửi bảng HH cho anh Nguyên duyệt</t>
  </si>
  <si>
    <t xml:space="preserve">Zalo / Email</t>
  </si>
  <si>
    <t xml:space="preserve">Anh Nguyên duyệt</t>
  </si>
  <si>
    <t xml:space="preserve">Zalo OK</t>
  </si>
  <si>
    <t xml:space="preserve">Diễm tính lại nếu có sửa</t>
  </si>
  <si>
    <t xml:space="preserve">Sheet</t>
  </si>
  <si>
    <t xml:space="preserve">Gửi HH cho từng NV</t>
  </si>
  <si>
    <t xml:space="preserve">Chuyển khoản HH</t>
  </si>
  <si>
    <t xml:space="preserve">Diễm / KT phụ</t>
  </si>
  <si>
    <t xml:space="preserve">Banking</t>
  </si>
  <si>
    <t xml:space="preserve">Lưu trữ + đóng tháng</t>
  </si>
  <si>
    <t xml:space="preserve">Google Drive</t>
  </si>
  <si>
    <t xml:space="preserve">E. Baseline Metrics (cần đo từ phỏng vấn)</t>
  </si>
  <si>
    <t xml:space="preserve">Metric</t>
  </si>
  <si>
    <t xml:space="preserve">Đơn vị</t>
  </si>
  <si>
    <t xml:space="preserve">Baseline</t>
  </si>
  <si>
    <t xml:space="preserve">Nguồn data</t>
  </si>
  <si>
    <t xml:space="preserve">Thời gian Diễm tính HH/tháng</t>
  </si>
  <si>
    <t xml:space="preserve">giờ</t>
  </si>
  <si>
    <t xml:space="preserve">Hỏi Diễm câu D2</t>
  </si>
  <si>
    <t xml:space="preserve">Tỉ lệ sai sót HH</t>
  </si>
  <si>
    <t xml:space="preserve">%</t>
  </si>
  <si>
    <t xml:space="preserve">Hỏi Diễm câu D3</t>
  </si>
  <si>
    <t xml:space="preserve">Số khiếu nại HH/tháng</t>
  </si>
  <si>
    <t xml:space="preserve">lần</t>
  </si>
  <si>
    <t xml:space="preserve">Hỏi Diễm câu D4</t>
  </si>
  <si>
    <t xml:space="preserve">Tỉ lệ NV tự kiểm tra HH</t>
  </si>
  <si>
    <t xml:space="preserve">0% (không có công cụ)</t>
  </si>
  <si>
    <t xml:space="preserve">Suy ra</t>
  </si>
  <si>
    <t xml:space="preserve">Hài lòng NV với cách tính HH</t>
  </si>
  <si>
    <t xml:space="preserve">1-10</t>
  </si>
  <si>
    <t xml:space="preserve">Poll P3</t>
  </si>
  <si>
    <t xml:space="preserve">Hài lòng Diễm với quy trình HH</t>
  </si>
  <si>
    <t xml:space="preserve">Hỏi Diễm câu D8</t>
  </si>
  <si>
    <t xml:space="preserve">Thời gian anh Nguyên duyệt HH</t>
  </si>
  <si>
    <t xml:space="preserve">Hỏi Diễm câu D9</t>
  </si>
  <si>
    <t xml:space="preserve">Số đơn hoàn/refund/tháng</t>
  </si>
  <si>
    <t xml:space="preserve">đơn</t>
  </si>
  <si>
    <t xml:space="preserve">Hỏi Diễm + iHOS</t>
  </si>
  <si>
    <t xml:space="preserve">BƯỚC 4: PROBLEM STATEMENT &amp; SCOPE v1</t>
  </si>
  <si>
    <t xml:space="preserve">A. Problem Statement (cập nhật sau khi đóng Bước 3)</t>
  </si>
  <si>
    <t xml:space="preserve">Phòng khám Nguyên Phương đang tính HH cho 5 NV thủ công bằng Excel. Mỗi tháng Diễm (KT) mất [TBD] giờ để collect data từ iHOS + tính + duyệt + gửi NV. Tỉ lệ sai sót [TBD]%, gây [TBD] khiếu nại/tháng. NV không có công cụ tự kiểm tra HH realtime, mất niềm tin. Anh Nguyên không có dashboard duyệt nhanh. Khi NP scale lên 10+ NV, quy trình hiện tại sẽ bottleneck.</t>
  </si>
  <si>
    <t xml:space="preserve">B. Success Criteria (anh Nguyên duyệt) - KPI 30/60/90 ngày</t>
  </si>
  <si>
    <t xml:space="preserve">KPI</t>
  </si>
  <si>
    <t xml:space="preserve">Target</t>
  </si>
  <si>
    <t xml:space="preserve">TBD giờ</t>
  </si>
  <si>
    <t xml:space="preserve">≤ 30 phút (T+30)</t>
  </si>
  <si>
    <t xml:space="preserve">Sai sót HH</t>
  </si>
  <si>
    <t xml:space="preserve">TBD %</t>
  </si>
  <si>
    <t xml:space="preserve">≤ 1% (T+60)</t>
  </si>
  <si>
    <t xml:space="preserve">NV tự check HH qua app</t>
  </si>
  <si>
    <t xml:space="preserve">0%</t>
  </si>
  <si>
    <t xml:space="preserve">≥ 80% (T+30)</t>
  </si>
  <si>
    <t xml:space="preserve">Khiếu nại HH/tháng</t>
  </si>
  <si>
    <t xml:space="preserve">TBD lần</t>
  </si>
  <si>
    <t xml:space="preserve">Giảm ≥ 50% (T+60)</t>
  </si>
  <si>
    <t xml:space="preserve">Hài lòng NV (NPS-like)</t>
  </si>
  <si>
    <t xml:space="preserve">TBD/10</t>
  </si>
  <si>
    <t xml:space="preserve">≥ 7 (T+90)</t>
  </si>
  <si>
    <t xml:space="preserve">Hài lòng anh Nguyên + Diễm</t>
  </si>
  <si>
    <t xml:space="preserve">N/A</t>
  </si>
  <si>
    <t xml:space="preserve">≥ 8/10 (T+30)</t>
  </si>
  <si>
    <t xml:space="preserve">C. Scope IN v1 (sẽ build)</t>
  </si>
  <si>
    <t xml:space="preserve">Module</t>
  </si>
  <si>
    <t xml:space="preserve">Mô tả</t>
  </si>
  <si>
    <t xml:space="preserve">Ưu tiên</t>
  </si>
  <si>
    <t xml:space="preserve">Auth + Permission</t>
  </si>
  <si>
    <t xml:space="preserve">Login OTP Zalo, 5 role permission matrix</t>
  </si>
  <si>
    <t xml:space="preserve">P0</t>
  </si>
  <si>
    <t xml:space="preserve">Quản lý NV</t>
  </si>
  <si>
    <t xml:space="preserve">Admin staff CRUD, gán role + tier</t>
  </si>
  <si>
    <t xml:space="preserve">Quản lý Customer + Service</t>
  </si>
  <si>
    <t xml:space="preserve">Customer CRUD, service catalog cấu hình</t>
  </si>
  <si>
    <t xml:space="preserve">Orders + OrderRoleAssignment</t>
  </si>
  <si>
    <t xml:space="preserve">Tạo đơn, gán role tham gia, tính HH auto</t>
  </si>
  <si>
    <t xml:space="preserve">Commission Approval (ngày 5)</t>
  </si>
  <si>
    <t xml:space="preserve">Diễm duyệt batch trong app</t>
  </si>
  <si>
    <t xml:space="preserve">Income (NV xem HH)</t>
  </si>
  <si>
    <t xml:space="preserve">NV self-service xem HH realtime</t>
  </si>
  <si>
    <t xml:space="preserve">Khiếu nại 3 ngày</t>
  </si>
  <si>
    <t xml:space="preserve">NV gửi khiếu nại trong app, Diễm xử lý</t>
  </si>
  <si>
    <t xml:space="preserve">Clawback 30 ngày</t>
  </si>
  <si>
    <t xml:space="preserve">Auto khi đơn hoàn/refund</t>
  </si>
  <si>
    <t xml:space="preserve">Dashboard CEO</t>
  </si>
  <si>
    <t xml:space="preserve">Anh Nguyên xem realtime</t>
  </si>
  <si>
    <t xml:space="preserve">Auto Rule HH</t>
  </si>
  <si>
    <t xml:space="preserve">Anh Nguyên + Diễm tự config tier</t>
  </si>
  <si>
    <t xml:space="preserve">Ranking NV</t>
  </si>
  <si>
    <t xml:space="preserve">Top NV tháng</t>
  </si>
  <si>
    <t xml:space="preserve">Notification Zalo</t>
  </si>
  <si>
    <t xml:space="preserve">Sự kiện quan trọng push Zalo</t>
  </si>
  <si>
    <t xml:space="preserve">Shift Mgmt (TC dispatch ca)</t>
  </si>
  <si>
    <t xml:space="preserve">Architecture J Basic</t>
  </si>
  <si>
    <t xml:space="preserve">Audit log</t>
  </si>
  <si>
    <t xml:space="preserve">Log all action quan trọng</t>
  </si>
  <si>
    <t xml:space="preserve">D. Scope OUT v1 (sẽ ở v1.5 / v2)</t>
  </si>
  <si>
    <t xml:space="preserve">iHOS webhook realtime</t>
  </si>
  <si>
    <t xml:space="preserve">v1.5: hiện tại manual import Excel từ iHOS</t>
  </si>
  <si>
    <t xml:space="preserve">v1.5</t>
  </si>
  <si>
    <t xml:space="preserve">Mobile native app</t>
  </si>
  <si>
    <t xml:space="preserve">v1 dùng web responsive trên mobile</t>
  </si>
  <si>
    <t xml:space="preserve">v2</t>
  </si>
  <si>
    <t xml:space="preserve">Multi-clinic / SaaS</t>
  </si>
  <si>
    <t xml:space="preserve">Khi sale cho phòng khám khác</t>
  </si>
  <si>
    <t xml:space="preserve">AI gợi ý HH / dự báo</t>
  </si>
  <si>
    <t xml:space="preserve">Sau khi có 6 tháng data</t>
  </si>
  <si>
    <t xml:space="preserve">Tự động chuyển khoản HH</t>
  </si>
  <si>
    <t xml:space="preserve">v1 manual qua banking</t>
  </si>
  <si>
    <t xml:space="preserve">Lương cứng + phụ cấp</t>
  </si>
  <si>
    <t xml:space="preserve">Vẫn dùng Excel cho lương cứng</t>
  </si>
  <si>
    <t xml:space="preserve">Báo cáo thuế</t>
  </si>
  <si>
    <t xml:space="preserve">Sau khi xác định scope thuế</t>
  </si>
  <si>
    <t xml:space="preserve">E. Open questions cho anh Nguyên (cần duyệt trong workshop)</t>
  </si>
  <si>
    <t xml:space="preserve">Câu hỏi</t>
  </si>
  <si>
    <t xml:space="preserve">Đề xuất của 1PDM</t>
  </si>
  <si>
    <t xml:space="preserve">Quyết định</t>
  </si>
  <si>
    <t xml:space="preserve">Cap 10% có enforce hay chỉ warning?</t>
  </si>
  <si>
    <t xml:space="preserve">Warning, không enforce v1</t>
  </si>
  <si>
    <t xml:space="preserve">Clawback policy 30 ngày OK?</t>
  </si>
  <si>
    <t xml:space="preserve">OK, đúng pay cycle</t>
  </si>
  <si>
    <t xml:space="preserve">Khiếu nại 3 ngày đủ không?</t>
  </si>
  <si>
    <t xml:space="preserve">Đủ, có thể chỉnh sau</t>
  </si>
  <si>
    <t xml:space="preserve">Pay cycle ngày 5 hay ngày 10?</t>
  </si>
  <si>
    <t xml:space="preserve">Ngày 5</t>
  </si>
  <si>
    <t xml:space="preserve">Architecture J cho TC dispatch dùng Basic hay Advanced?</t>
  </si>
  <si>
    <t xml:space="preserve">Basic v1, Advanced khi NP scale &gt; 10 NV</t>
  </si>
  <si>
    <t xml:space="preserve">Ai resolve khiếu nại cuối cùng nếu Diễm + NV không thống nhất?</t>
  </si>
  <si>
    <t xml:space="preserve">Lịch UAT 2 tuần OK?</t>
  </si>
  <si>
    <t xml:space="preserve">OK từ 2026-06-20 đến 2026-07-04</t>
  </si>
  <si>
    <t xml:space="preserve">Go-live song song 30 ngày hay 60 ngày?</t>
  </si>
  <si>
    <t xml:space="preserve">30 ngày</t>
  </si>
  <si>
    <t xml:space="preserve">BƯỚC 5: USER JOURNEY TO-BE</t>
  </si>
  <si>
    <t xml:space="preserve">Hành trình end-to-end của 5 persona sau khi có app. Trả lời 'NV làm gì, ở đâu, khi nào'.</t>
  </si>
  <si>
    <t xml:space="preserve">Action / Touchpoint</t>
  </si>
  <si>
    <t xml:space="preserve">Screen</t>
  </si>
  <si>
    <t xml:space="preserve">Thời điểm</t>
  </si>
  <si>
    <t xml:space="preserve">Cải thiện vs AS-IS</t>
  </si>
  <si>
    <t xml:space="preserve">Sale (Lan)</t>
  </si>
  <si>
    <t xml:space="preserve">Login app sáng đầu giờ</t>
  </si>
  <si>
    <t xml:space="preserve">Login</t>
  </si>
  <si>
    <t xml:space="preserve">8:00 hàng ngày</t>
  </si>
  <si>
    <t xml:space="preserve">Trước: không có</t>
  </si>
  <si>
    <t xml:space="preserve">Xem HH cá nhân tháng hiện tại + tier %</t>
  </si>
  <si>
    <t xml:space="preserve">Income</t>
  </si>
  <si>
    <t xml:space="preserve">Bất kỳ lúc nào</t>
  </si>
  <si>
    <t xml:space="preserve">Trước: phải hỏi Diễm</t>
  </si>
  <si>
    <t xml:space="preserve">Xem đơn hàng đã tham gia trong tháng</t>
  </si>
  <si>
    <t xml:space="preserve">Orders (filter by self)</t>
  </si>
  <si>
    <t xml:space="preserve">Khi cần check</t>
  </si>
  <si>
    <t xml:space="preserve">Trước: hỏi Diễm</t>
  </si>
  <si>
    <t xml:space="preserve">Click vào đơn xem chi tiết HH từng vai trò</t>
  </si>
  <si>
    <t xml:space="preserve">Order Detail</t>
  </si>
  <si>
    <t xml:space="preserve">Khi nghi ngờ</t>
  </si>
  <si>
    <t xml:space="preserve">Trước: không biết</t>
  </si>
  <si>
    <t xml:space="preserve">Gửi khiếu nại nếu thấy HH sai</t>
  </si>
  <si>
    <t xml:space="preserve">Income &gt; Khiếu nại</t>
  </si>
  <si>
    <t xml:space="preserve">Trong 3 ngày</t>
  </si>
  <si>
    <t xml:space="preserve">Trước: nhắn Zalo Diễm</t>
  </si>
  <si>
    <t xml:space="preserve">Xem ranking tháng + ranking cá nhân</t>
  </si>
  <si>
    <t xml:space="preserve">Ranking</t>
  </si>
  <si>
    <t xml:space="preserve">Cuối tháng</t>
  </si>
  <si>
    <t xml:space="preserve">Nhận thông báo Zalo khi HH chốt</t>
  </si>
  <si>
    <t xml:space="preserve">Zalo OA</t>
  </si>
  <si>
    <t xml:space="preserve">Ngày 5 hàng tháng</t>
  </si>
  <si>
    <t xml:space="preserve">Trước: chờ Diễm nhắn</t>
  </si>
  <si>
    <t xml:space="preserve">TC (Hà)</t>
  </si>
  <si>
    <t xml:space="preserve">Login + xem ca hôm nay</t>
  </si>
  <si>
    <t xml:space="preserve">Login + Shift</t>
  </si>
  <si>
    <t xml:space="preserve">Đầu ca</t>
  </si>
  <si>
    <t xml:space="preserve">Trước: file Excel</t>
  </si>
  <si>
    <t xml:space="preserve">Dispatch khách đến cho Sale + BS</t>
  </si>
  <si>
    <t xml:space="preserve">Shift &gt; Assign</t>
  </si>
  <si>
    <t xml:space="preserve">Khi khách đến</t>
  </si>
  <si>
    <t xml:space="preserve">Trước: gọi tay</t>
  </si>
  <si>
    <t xml:space="preserve">Duyệt KCB cuối ca</t>
  </si>
  <si>
    <t xml:space="preserve">Shift Handover</t>
  </si>
  <si>
    <t xml:space="preserve">Cuối ca</t>
  </si>
  <si>
    <t xml:space="preserve">Trước: viết sổ</t>
  </si>
  <si>
    <t xml:space="preserve">Bàn giao ca cho TC tiếp theo</t>
  </si>
  <si>
    <t xml:space="preserve">Trước: nói miệng</t>
  </si>
  <si>
    <t xml:space="preserve">Báo cáo bất thường (refund, complaint)</t>
  </si>
  <si>
    <t xml:space="preserve">Customer Follow-up</t>
  </si>
  <si>
    <t xml:space="preserve">Khi có</t>
  </si>
  <si>
    <t xml:space="preserve">Trước: Zalo</t>
  </si>
  <si>
    <t xml:space="preserve">KT (Diễm)</t>
  </si>
  <si>
    <t xml:space="preserve">Login + xem dashboard duyệt</t>
  </si>
  <si>
    <t xml:space="preserve">Dashboard KT</t>
  </si>
  <si>
    <t xml:space="preserve">Sáng ngày 5</t>
  </si>
  <si>
    <t xml:space="preserve">Trước: mở Excel</t>
  </si>
  <si>
    <t xml:space="preserve">Xem batch HH chờ duyệt</t>
  </si>
  <si>
    <t xml:space="preserve">Commission Approval</t>
  </si>
  <si>
    <t xml:space="preserve">Trước: tính tay 2 ngày</t>
  </si>
  <si>
    <t xml:space="preserve">Bulk duyệt / spot check + duyệt riêng</t>
  </si>
  <si>
    <t xml:space="preserve">Trước: copy/paste Excel</t>
  </si>
  <si>
    <t xml:space="preserve">Xử lý khiếu nại NV (3 ngày)</t>
  </si>
  <si>
    <t xml:space="preserve">Commission Approval &gt; Khiếu nại</t>
  </si>
  <si>
    <t xml:space="preserve">Bất kỳ ngày nào</t>
  </si>
  <si>
    <t xml:space="preserve">Trước: trả lời Zalo</t>
  </si>
  <si>
    <t xml:space="preserve">Xử lý clawback đơn refund</t>
  </si>
  <si>
    <t xml:space="preserve">Adjustments</t>
  </si>
  <si>
    <t xml:space="preserve">Trước: tính tay</t>
  </si>
  <si>
    <t xml:space="preserve">Đóng cycle + export báo cáo</t>
  </si>
  <si>
    <t xml:space="preserve">Income &gt; Export</t>
  </si>
  <si>
    <t xml:space="preserve">Ngày 10</t>
  </si>
  <si>
    <t xml:space="preserve">Setup tier HH khi anh Nguyên đổi rule</t>
  </si>
  <si>
    <t xml:space="preserve">Admin Settings</t>
  </si>
  <si>
    <t xml:space="preserve">Khi đổi rule</t>
  </si>
  <si>
    <t xml:space="preserve">Trước: sửa Excel</t>
  </si>
  <si>
    <t xml:space="preserve">CEO (Nguyên)</t>
  </si>
  <si>
    <t xml:space="preserve">Login + dashboard tổng thể</t>
  </si>
  <si>
    <t xml:space="preserve">Xem doanh thu + HH realtime theo tháng</t>
  </si>
  <si>
    <t xml:space="preserve">Hàng ngày</t>
  </si>
  <si>
    <t xml:space="preserve">Trước: cuối tháng mới biết</t>
  </si>
  <si>
    <t xml:space="preserve">Duyệt batch HH ngày 5 (final)</t>
  </si>
  <si>
    <t xml:space="preserve">Commission Approval &gt; CEO sign</t>
  </si>
  <si>
    <t xml:space="preserve">Trước: nhận Zalo Diễm</t>
  </si>
  <si>
    <t xml:space="preserve">Đổi tier % / rule HH khi cần</t>
  </si>
  <si>
    <t xml:space="preserve">Khi cần</t>
  </si>
  <si>
    <t xml:space="preserve">Trước: nói Diễm sửa</t>
  </si>
  <si>
    <t xml:space="preserve">Xem ranking + đánh giá NV</t>
  </si>
  <si>
    <t xml:space="preserve">Trước: hỏi miệng</t>
  </si>
  <si>
    <t xml:space="preserve">BS (Minh)</t>
  </si>
  <si>
    <t xml:space="preserve">Login (nếu cần)</t>
  </si>
  <si>
    <t xml:space="preserve">Khi cần xem HH</t>
  </si>
  <si>
    <t xml:space="preserve">Mới</t>
  </si>
  <si>
    <t xml:space="preserve">Xem HH cá nhân (BS có % nhỏ)</t>
  </si>
  <si>
    <t xml:space="preserve">Nhận thông báo Zalo HH chốt</t>
  </si>
  <si>
    <t xml:space="preserve">BƯỚC 6: FUNCTIONAL SPEC &amp; ARCHITECTURE</t>
  </si>
  <si>
    <t xml:space="preserve">A. Reference docs (đặt trong cùng folder audit-docs/)</t>
  </si>
  <si>
    <t xml:space="preserve">File</t>
  </si>
  <si>
    <t xml:space="preserve">Mục đích</t>
  </si>
  <si>
    <t xml:space="preserve">Trạng thái</t>
  </si>
  <si>
    <t xml:space="preserve">B1-bien-ban-context.md</t>
  </si>
  <si>
    <t xml:space="preserve">Context, entity dictionary, formula HH</t>
  </si>
  <si>
    <t xml:space="preserve">39KB</t>
  </si>
  <si>
    <t xml:space="preserve">B2-kich-ban-van-hanh.md</t>
  </si>
  <si>
    <t xml:space="preserve">5 personas + workflows</t>
  </si>
  <si>
    <t xml:space="preserve">26KB</t>
  </si>
  <si>
    <t xml:space="preserve">B2-2-bpmn-flowchart.md</t>
  </si>
  <si>
    <t xml:space="preserve">State machines + BPMN</t>
  </si>
  <si>
    <t xml:space="preserve">27KB</t>
  </si>
  <si>
    <t xml:space="preserve">B2-3-edge-cases.md</t>
  </si>
  <si>
    <t xml:space="preserve">13 edge cases</t>
  </si>
  <si>
    <t xml:space="preserve">32KB</t>
  </si>
  <si>
    <t xml:space="preserve">B2-4-pay-cycle.md</t>
  </si>
  <si>
    <t xml:space="preserve">Pay cycle ngày 5</t>
  </si>
  <si>
    <t xml:space="preserve">15KB</t>
  </si>
  <si>
    <t xml:space="preserve">B3-screen-audit.md</t>
  </si>
  <si>
    <t xml:space="preserve">Audit 25 screens</t>
  </si>
  <si>
    <t xml:space="preserve">B4-business-rules.md</t>
  </si>
  <si>
    <t xml:space="preserve">75 business rules R-1 đến R-12</t>
  </si>
  <si>
    <t xml:space="preserve">B5-1 đến B5-5</t>
  </si>
  <si>
    <t xml:space="preserve">Screen specs 13 màn (5 files)</t>
  </si>
  <si>
    <t xml:space="preserve">~120KB</t>
  </si>
  <si>
    <t xml:space="preserve">B6-implementation-plan.md</t>
  </si>
  <si>
    <t xml:space="preserve">Cost + timeline dev</t>
  </si>
  <si>
    <t xml:space="preserve">B7-business-effectiveness-audit.md</t>
  </si>
  <si>
    <t xml:space="preserve">User story + AC + DFD + KPI</t>
  </si>
  <si>
    <t xml:space="preserve">ADR-001-truong-ca-architecture.md</t>
  </si>
  <si>
    <t xml:space="preserve">Architecture J - Shift</t>
  </si>
  <si>
    <t xml:space="preserve">10KB</t>
  </si>
  <si>
    <t xml:space="preserve">B. Module Status (theo code thật)</t>
  </si>
  <si>
    <t xml:space="preserve">Module / Screen</t>
  </si>
  <si>
    <t xml:space="preserve">Mô tả ngắn</t>
  </si>
  <si>
    <t xml:space="preserve">Issue còn nợ</t>
  </si>
  <si>
    <t xml:space="preserve">Auth (Login)</t>
  </si>
  <si>
    <t xml:space="preserve">Login Zalo OTP, role-based redirect</t>
  </si>
  <si>
    <t xml:space="preserve">P0: DEV_OVERRIDE_OTP gate</t>
  </si>
  <si>
    <t xml:space="preserve">Admin - Staff</t>
  </si>
  <si>
    <t xml:space="preserve">CRUD NV, gán role, tier</t>
  </si>
  <si>
    <t xml:space="preserve">Không</t>
  </si>
  <si>
    <t xml:space="preserve">Admin - Settings</t>
  </si>
  <si>
    <t xml:space="preserve">Cấu hình hệ thống, tier HH</t>
  </si>
  <si>
    <t xml:space="preserve">P0: POST commission-tiers endpoint</t>
  </si>
  <si>
    <t xml:space="preserve">Diễm duyệt batch ngày 5</t>
  </si>
  <si>
    <t xml:space="preserve">P1 (M-2)</t>
  </si>
  <si>
    <t xml:space="preserve">NV xem HH self-service</t>
  </si>
  <si>
    <t xml:space="preserve">Chi tiết đơn + HH từng role</t>
  </si>
  <si>
    <t xml:space="preserve">Orders</t>
  </si>
  <si>
    <t xml:space="preserve">List đơn, filter, search</t>
  </si>
  <si>
    <t xml:space="preserve">P2 conditional</t>
  </si>
  <si>
    <t xml:space="preserve">Commission Config</t>
  </si>
  <si>
    <t xml:space="preserve">Anh Nguyên config rule HH</t>
  </si>
  <si>
    <t xml:space="preserve">P0: POST endpoint</t>
  </si>
  <si>
    <t xml:space="preserve">Dashboard</t>
  </si>
  <si>
    <t xml:space="preserve">Tổng quan theo permission</t>
  </si>
  <si>
    <t xml:space="preserve">Customer Detail</t>
  </si>
  <si>
    <t xml:space="preserve">Chi tiết khách + history</t>
  </si>
  <si>
    <t xml:space="preserve">Customers</t>
  </si>
  <si>
    <t xml:space="preserve">List khách</t>
  </si>
  <si>
    <t xml:space="preserve">Adjustments / Khiếu nại</t>
  </si>
  <si>
    <t xml:space="preserve">Khiếu nại 3 ngày + clawback</t>
  </si>
  <si>
    <t xml:space="preserve">P0: OrderRoleAssignment table</t>
  </si>
  <si>
    <t xml:space="preserve">Shift (TC dispatch)</t>
  </si>
  <si>
    <t xml:space="preserve">P1 (M-3)</t>
  </si>
  <si>
    <t xml:space="preserve">Notification (Zalo OA)</t>
  </si>
  <si>
    <t xml:space="preserve">Push sự kiện quan trọng</t>
  </si>
  <si>
    <t xml:space="preserve">Cần đăng ký OA</t>
  </si>
  <si>
    <t xml:space="preserve">Audit Log</t>
  </si>
  <si>
    <t xml:space="preserve">Log all action</t>
  </si>
  <si>
    <t xml:space="preserve">C. Traceability matrix (Requirement &gt; Screen &gt; Test)</t>
  </si>
  <si>
    <t xml:space="preserve">Req ID</t>
  </si>
  <si>
    <t xml:space="preserve">Screen liên quan</t>
  </si>
  <si>
    <t xml:space="preserve">Test case</t>
  </si>
  <si>
    <t xml:space="preserve">R-1</t>
  </si>
  <si>
    <t xml:space="preserve">Auto tính HH theo tier</t>
  </si>
  <si>
    <t xml:space="preserve">Income, Orders, Order Detail</t>
  </si>
  <si>
    <t xml:space="preserve">TC-01 đến TC-05</t>
  </si>
  <si>
    <t xml:space="preserve">R-2</t>
  </si>
  <si>
    <t xml:space="preserve">Duyệt batch HH ngày 5</t>
  </si>
  <si>
    <t xml:space="preserve">TC-06 đến TC-08</t>
  </si>
  <si>
    <t xml:space="preserve">R-3</t>
  </si>
  <si>
    <t xml:space="preserve">Income &gt; Khiếu nại, Adjustments</t>
  </si>
  <si>
    <t xml:space="preserve">TC-09 đến TC-11</t>
  </si>
  <si>
    <t xml:space="preserve">R-4</t>
  </si>
  <si>
    <t xml:space="preserve">Adjustments, Orders</t>
  </si>
  <si>
    <t xml:space="preserve">TC-12 đến TC-14</t>
  </si>
  <si>
    <t xml:space="preserve">R-5</t>
  </si>
  <si>
    <t xml:space="preserve">Permission matrix 5 role</t>
  </si>
  <si>
    <t xml:space="preserve">All screen</t>
  </si>
  <si>
    <t xml:space="preserve">TC-15 đến TC-20</t>
  </si>
  <si>
    <t xml:space="preserve">R-6</t>
  </si>
  <si>
    <t xml:space="preserve">Dashboard CEO realtime</t>
  </si>
  <si>
    <t xml:space="preserve">TC-21 đến TC-23</t>
  </si>
  <si>
    <t xml:space="preserve">R-7</t>
  </si>
  <si>
    <t xml:space="preserve">Cap 10% awareness</t>
  </si>
  <si>
    <t xml:space="preserve">TC-24</t>
  </si>
  <si>
    <t xml:space="preserve">R-8</t>
  </si>
  <si>
    <t xml:space="preserve">Ranking snapshot</t>
  </si>
  <si>
    <t xml:space="preserve">TC-25 đến TC-26</t>
  </si>
  <si>
    <t xml:space="preserve">R-9</t>
  </si>
  <si>
    <t xml:space="preserve">Notification Zalo OA</t>
  </si>
  <si>
    <t xml:space="preserve">All notification trigger</t>
  </si>
  <si>
    <t xml:space="preserve">TC-27 đến TC-29</t>
  </si>
  <si>
    <t xml:space="preserve">R-10</t>
  </si>
  <si>
    <t xml:space="preserve">Auth + OTP Zalo</t>
  </si>
  <si>
    <t xml:space="preserve">TC-30 đến TC-31</t>
  </si>
  <si>
    <t xml:space="preserve">R-11</t>
  </si>
  <si>
    <t xml:space="preserve">TC dispatch ca</t>
  </si>
  <si>
    <t xml:space="preserve">Shift</t>
  </si>
  <si>
    <t xml:space="preserve">TC-32 đến TC-35</t>
  </si>
  <si>
    <t xml:space="preserve">R-12</t>
  </si>
  <si>
    <t xml:space="preserve">All write action</t>
  </si>
  <si>
    <t xml:space="preserve">TC-36 đến TC-37</t>
  </si>
  <si>
    <t xml:space="preserve">BƯỚC 7: BUILD + INTERNAL QA</t>
  </si>
  <si>
    <t xml:space="preserve">ID</t>
  </si>
  <si>
    <t xml:space="preserve">Title</t>
  </si>
  <si>
    <t xml:space="preserve">Type</t>
  </si>
  <si>
    <t xml:space="preserve">Priority</t>
  </si>
  <si>
    <t xml:space="preserve">T1</t>
  </si>
  <si>
    <t xml:space="preserve">Login rework: Zalo OTP, role-based redirect</t>
  </si>
  <si>
    <t xml:space="preserve">Rework</t>
  </si>
  <si>
    <t xml:space="preserve">Dev</t>
  </si>
  <si>
    <t xml:space="preserve">T2</t>
  </si>
  <si>
    <t xml:space="preserve">Admin-Staff CRUD + role assignment</t>
  </si>
  <si>
    <t xml:space="preserve">T3</t>
  </si>
  <si>
    <t xml:space="preserve">Admin-Settings tier config</t>
  </si>
  <si>
    <t xml:space="preserve">T4</t>
  </si>
  <si>
    <t xml:space="preserve">Commission Approval batch flow</t>
  </si>
  <si>
    <t xml:space="preserve">T5</t>
  </si>
  <si>
    <t xml:space="preserve">Income self-service NV</t>
  </si>
  <si>
    <t xml:space="preserve">T6</t>
  </si>
  <si>
    <t xml:space="preserve">Order Detail HH per role</t>
  </si>
  <si>
    <t xml:space="preserve">T7</t>
  </si>
  <si>
    <t xml:space="preserve">Orders list filter</t>
  </si>
  <si>
    <t xml:space="preserve">T8</t>
  </si>
  <si>
    <t xml:space="preserve">Ranking conditional</t>
  </si>
  <si>
    <t xml:space="preserve">T9</t>
  </si>
  <si>
    <t xml:space="preserve">Commission Config (admin)</t>
  </si>
  <si>
    <t xml:space="preserve">T10</t>
  </si>
  <si>
    <t xml:space="preserve">Dashboard permission-based</t>
  </si>
  <si>
    <t xml:space="preserve">T11</t>
  </si>
  <si>
    <t xml:space="preserve">T12</t>
  </si>
  <si>
    <t xml:space="preserve">Customers list</t>
  </si>
  <si>
    <t xml:space="preserve">T13</t>
  </si>
  <si>
    <t xml:space="preserve">Admin-Commission-Approval</t>
  </si>
  <si>
    <t xml:space="preserve">P0-1</t>
  </si>
  <si>
    <t xml:space="preserve">OrderRoleAssignment table thiếu (HH tính sai)</t>
  </si>
  <si>
    <t xml:space="preserve">Bug</t>
  </si>
  <si>
    <t xml:space="preserve">P0-2</t>
  </si>
  <si>
    <t xml:space="preserve">DEV_OVERRIDE_OTP gate (security risk)</t>
  </si>
  <si>
    <t xml:space="preserve">P0-3</t>
  </si>
  <si>
    <t xml:space="preserve">POST commission-tiers endpoint thiếu</t>
  </si>
  <si>
    <t xml:space="preserve">M-2</t>
  </si>
  <si>
    <t xml:space="preserve">Commission Approval edge case</t>
  </si>
  <si>
    <t xml:space="preserve">M-3</t>
  </si>
  <si>
    <t xml:space="preserve">Shift handover thiếu state</t>
  </si>
  <si>
    <t xml:space="preserve">M-4</t>
  </si>
  <si>
    <t xml:space="preserve">Adjustments timeline display sai</t>
  </si>
  <si>
    <t xml:space="preserve">M-5</t>
  </si>
  <si>
    <t xml:space="preserve">Clawback notify thiếu</t>
  </si>
  <si>
    <t xml:space="preserve">M-6</t>
  </si>
  <si>
    <t xml:space="preserve">Permission Sale xem cross-role data</t>
  </si>
  <si>
    <t xml:space="preserve">M-7</t>
  </si>
  <si>
    <t xml:space="preserve">Ranking snapshot timing</t>
  </si>
  <si>
    <t xml:space="preserve">M-8</t>
  </si>
  <si>
    <t xml:space="preserve">Customer follow-up assign role</t>
  </si>
  <si>
    <t xml:space="preserve">Tổng kết:</t>
  </si>
  <si>
    <t xml:space="preserve">Tasks DONE:</t>
  </si>
  <si>
    <t xml:space="preserve">Còn TODO + IN PROGRESS:</t>
  </si>
  <si>
    <t xml:space="preserve">P0 còn nợ:</t>
  </si>
  <si>
    <t xml:space="preserve">Bug log (cập nhật khi UAT + Hypercare)</t>
  </si>
  <si>
    <t xml:space="preserve">Bug ID</t>
  </si>
  <si>
    <t xml:space="preserve">Severity</t>
  </si>
  <si>
    <t xml:space="preserve">Reporter</t>
  </si>
  <si>
    <t xml:space="preserve">Date</t>
  </si>
  <si>
    <t xml:space="preserve">BƯỚC 8: UAT + CHANGE MANAGEMENT</t>
  </si>
  <si>
    <t xml:space="preserve">A. UAT Plan (50 test case, 5 persona x 10)</t>
  </si>
  <si>
    <t xml:space="preserve">TC ID</t>
  </si>
  <si>
    <t xml:space="preserve">Scenario</t>
  </si>
  <si>
    <t xml:space="preserve">Expected result</t>
  </si>
  <si>
    <t xml:space="preserve">Tester</t>
  </si>
  <si>
    <t xml:space="preserve">S-01</t>
  </si>
  <si>
    <t xml:space="preserve">Login bằng Zalo OTP</t>
  </si>
  <si>
    <t xml:space="preserve">Theo expected của AC</t>
  </si>
  <si>
    <t xml:space="preserve">S-02</t>
  </si>
  <si>
    <t xml:space="preserve">Xem HH tháng hiện tại trên Income</t>
  </si>
  <si>
    <t xml:space="preserve">S-03</t>
  </si>
  <si>
    <t xml:space="preserve">Xem đơn đã tham gia trong tháng</t>
  </si>
  <si>
    <t xml:space="preserve">S-04</t>
  </si>
  <si>
    <t xml:space="preserve">Click vào đơn xem chi tiết HH</t>
  </si>
  <si>
    <t xml:space="preserve">S-05</t>
  </si>
  <si>
    <t xml:space="preserve">Phát hiện 1 đơn HH sai, gửi khiếu nại</t>
  </si>
  <si>
    <t xml:space="preserve">S-06</t>
  </si>
  <si>
    <t xml:space="preserve">Xem ranking + thấy mình ở top mấy</t>
  </si>
  <si>
    <t xml:space="preserve">S-07</t>
  </si>
  <si>
    <t xml:space="preserve">Nhận notification Zalo khi HH chốt</t>
  </si>
  <si>
    <t xml:space="preserve">S-08</t>
  </si>
  <si>
    <t xml:space="preserve">Logout + login lại, session OK</t>
  </si>
  <si>
    <t xml:space="preserve">S-09</t>
  </si>
  <si>
    <t xml:space="preserve">Mở app trên mobile, layout responsive</t>
  </si>
  <si>
    <t xml:space="preserve">S-10</t>
  </si>
  <si>
    <t xml:space="preserve">Thử truy cập màn Commission Approval (phải bị chặn)</t>
  </si>
  <si>
    <t xml:space="preserve">T-01</t>
  </si>
  <si>
    <t xml:space="preserve">Theo AC</t>
  </si>
  <si>
    <t xml:space="preserve">T-02</t>
  </si>
  <si>
    <t xml:space="preserve">Dispatch khách cho Sale</t>
  </si>
  <si>
    <t xml:space="preserve">T-03</t>
  </si>
  <si>
    <t xml:space="preserve">T-04</t>
  </si>
  <si>
    <t xml:space="preserve">T-05</t>
  </si>
  <si>
    <t xml:space="preserve">Báo cáo customer follow-up</t>
  </si>
  <si>
    <t xml:space="preserve">T-06</t>
  </si>
  <si>
    <t xml:space="preserve">Xem lịch sử ca cũ</t>
  </si>
  <si>
    <t xml:space="preserve">T-07</t>
  </si>
  <si>
    <t xml:space="preserve">Thử dispatch cho Sale không có ca (phải báo lỗi)</t>
  </si>
  <si>
    <t xml:space="preserve">T-08</t>
  </si>
  <si>
    <t xml:space="preserve">Xem ranking team trong ca của mình</t>
  </si>
  <si>
    <t xml:space="preserve">T-09</t>
  </si>
  <si>
    <t xml:space="preserve">Notification ca mới</t>
  </si>
  <si>
    <t xml:space="preserve">T-10</t>
  </si>
  <si>
    <t xml:space="preserve">Truy cập Commission Approval (phải bị chặn)</t>
  </si>
  <si>
    <t xml:space="preserve">K-01</t>
  </si>
  <si>
    <t xml:space="preserve">Login + dashboard KT ngày 5</t>
  </si>
  <si>
    <t xml:space="preserve">K-02</t>
  </si>
  <si>
    <t xml:space="preserve">K-03</t>
  </si>
  <si>
    <t xml:space="preserve">Spot check 3 đơn ngẫu nhiên</t>
  </si>
  <si>
    <t xml:space="preserve">K-04</t>
  </si>
  <si>
    <t xml:space="preserve">Bulk duyệt 50 đơn</t>
  </si>
  <si>
    <t xml:space="preserve">K-05</t>
  </si>
  <si>
    <t xml:space="preserve">Reject 1 đơn + ghi lý do</t>
  </si>
  <si>
    <t xml:space="preserve">K-06</t>
  </si>
  <si>
    <t xml:space="preserve">Xử lý khiếu nại Sale (chấp nhận / từ chối)</t>
  </si>
  <si>
    <t xml:space="preserve">K-07</t>
  </si>
  <si>
    <t xml:space="preserve">Xử lý clawback đơn refund 30 ngày sau</t>
  </si>
  <si>
    <t xml:space="preserve">K-08</t>
  </si>
  <si>
    <t xml:space="preserve">Export báo cáo HH tháng</t>
  </si>
  <si>
    <t xml:space="preserve">K-09</t>
  </si>
  <si>
    <t xml:space="preserve">Setup tier HH mới khi anh Nguyên đổi rule</t>
  </si>
  <si>
    <t xml:space="preserve">K-10</t>
  </si>
  <si>
    <t xml:space="preserve">Edit đơn đã duyệt trong 30 ngày (window)</t>
  </si>
  <si>
    <t xml:space="preserve">C-01</t>
  </si>
  <si>
    <t xml:space="preserve">Login + dashboard CEO</t>
  </si>
  <si>
    <t xml:space="preserve">Nguyên</t>
  </si>
  <si>
    <t xml:space="preserve">C-02</t>
  </si>
  <si>
    <t xml:space="preserve">Xem doanh thu hôm nay + so với tuần trước</t>
  </si>
  <si>
    <t xml:space="preserve">C-03</t>
  </si>
  <si>
    <t xml:space="preserve">Xem HH dự kiến tháng</t>
  </si>
  <si>
    <t xml:space="preserve">C-04</t>
  </si>
  <si>
    <t xml:space="preserve">Duyệt final batch HH ngày 5 (sau Diễm)</t>
  </si>
  <si>
    <t xml:space="preserve">C-05</t>
  </si>
  <si>
    <t xml:space="preserve">Đổi tier % HH cho 1 service</t>
  </si>
  <si>
    <t xml:space="preserve">C-06</t>
  </si>
  <si>
    <t xml:space="preserve">Xem ranking NV tháng</t>
  </si>
  <si>
    <t xml:space="preserve">C-07</t>
  </si>
  <si>
    <t xml:space="preserve">Xem chi tiết 1 NV để đánh giá</t>
  </si>
  <si>
    <t xml:space="preserve">C-08</t>
  </si>
  <si>
    <t xml:space="preserve">Xem audit log 10 action gần nhất</t>
  </si>
  <si>
    <t xml:space="preserve">C-09</t>
  </si>
  <si>
    <t xml:space="preserve">Truy cập Adjustments (phải có quyền)</t>
  </si>
  <si>
    <t xml:space="preserve">C-10</t>
  </si>
  <si>
    <t xml:space="preserve">Logout + login từ device khác</t>
  </si>
  <si>
    <t xml:space="preserve">B-01</t>
  </si>
  <si>
    <t xml:space="preserve">Login (BS có thấy gì)</t>
  </si>
  <si>
    <t xml:space="preserve">Minh</t>
  </si>
  <si>
    <t xml:space="preserve">B-02</t>
  </si>
  <si>
    <t xml:space="preserve">Xem HH cá nhân tháng</t>
  </si>
  <si>
    <t xml:space="preserve">B-03</t>
  </si>
  <si>
    <t xml:space="preserve">Xem đơn KCB đã làm</t>
  </si>
  <si>
    <t xml:space="preserve">B-04</t>
  </si>
  <si>
    <t xml:space="preserve">Nhận notification HH chốt</t>
  </si>
  <si>
    <t xml:space="preserve">B-05</t>
  </si>
  <si>
    <t xml:space="preserve">Không truy cập được Commission Approval</t>
  </si>
  <si>
    <t xml:space="preserve">B-06</t>
  </si>
  <si>
    <t xml:space="preserve">Không truy cập được Admin Settings</t>
  </si>
  <si>
    <t xml:space="preserve">B-07</t>
  </si>
  <si>
    <t xml:space="preserve">Xem ranking BS</t>
  </si>
  <si>
    <t xml:space="preserve">B-08</t>
  </si>
  <si>
    <t xml:space="preserve">Mở app mobile</t>
  </si>
  <si>
    <t xml:space="preserve">B-09</t>
  </si>
  <si>
    <t xml:space="preserve">Đăng nhập từ 2 device cùng lúc</t>
  </si>
  <si>
    <t xml:space="preserve">B-10</t>
  </si>
  <si>
    <t xml:space="preserve">Logout</t>
  </si>
  <si>
    <t xml:space="preserve">B. Training Plan</t>
  </si>
  <si>
    <t xml:space="preserve">Format</t>
  </si>
  <si>
    <t xml:space="preserve">Thời lượng</t>
  </si>
  <si>
    <t xml:space="preserve">Trainer</t>
  </si>
  <si>
    <t xml:space="preserve">Material</t>
  </si>
  <si>
    <t xml:space="preserve">Ngày</t>
  </si>
  <si>
    <t xml:space="preserve">1-1 + Run-book</t>
  </si>
  <si>
    <t xml:space="preserve">2 giờ</t>
  </si>
  <si>
    <t xml:space="preserve">Run-book KT + screen demo</t>
  </si>
  <si>
    <t xml:space="preserve">T-3</t>
  </si>
  <si>
    <t xml:space="preserve">1-1</t>
  </si>
  <si>
    <t xml:space="preserve">1 giờ</t>
  </si>
  <si>
    <t xml:space="preserve">Diễm sau khi xong</t>
  </si>
  <si>
    <t xml:space="preserve">Run-book TC</t>
  </si>
  <si>
    <t xml:space="preserve">T-2</t>
  </si>
  <si>
    <t xml:space="preserve">Sale (3 NV)</t>
  </si>
  <si>
    <t xml:space="preserve">Group</t>
  </si>
  <si>
    <t xml:space="preserve">30 phút</t>
  </si>
  <si>
    <t xml:space="preserve">Quick guide 1 trang</t>
  </si>
  <si>
    <t xml:space="preserve">BS (3 BS)</t>
  </si>
  <si>
    <t xml:space="preserve">Email + Zalo 15p</t>
  </si>
  <si>
    <t xml:space="preserve">15 phút</t>
  </si>
  <si>
    <t xml:space="preserve">FAQ + video 5 phút</t>
  </si>
  <si>
    <t xml:space="preserve">CEO Nguyên</t>
  </si>
  <si>
    <t xml:space="preserve">Run-book CEO</t>
  </si>
  <si>
    <t xml:space="preserve">C. Run-book outline</t>
  </si>
  <si>
    <t xml:space="preserve">Section</t>
  </si>
  <si>
    <t xml:space="preserve">Cho ai</t>
  </si>
  <si>
    <t xml:space="preserve">Số trang</t>
  </si>
  <si>
    <t xml:space="preserve">Owner viết</t>
  </si>
  <si>
    <t xml:space="preserve">Owner review</t>
  </si>
  <si>
    <t xml:space="preserve">Hướng dẫn KT (Diễm)</t>
  </si>
  <si>
    <t xml:space="preserve">Hướng dẫn TC (Hà)</t>
  </si>
  <si>
    <t xml:space="preserve">Hướng dẫn Sale</t>
  </si>
  <si>
    <t xml:space="preserve">3 Sale</t>
  </si>
  <si>
    <t xml:space="preserve">Lan (pilot)</t>
  </si>
  <si>
    <t xml:space="preserve">Hướng dẫn BS</t>
  </si>
  <si>
    <t xml:space="preserve">3 BS</t>
  </si>
  <si>
    <t xml:space="preserve">Hướng dẫn CEO</t>
  </si>
  <si>
    <t xml:space="preserve">FAQ + troubleshoot</t>
  </si>
  <si>
    <t xml:space="preserve">Tất cả</t>
  </si>
  <si>
    <t xml:space="preserve">Admin manual</t>
  </si>
  <si>
    <t xml:space="preserve">BƯỚC 9: CUTOVER + HYPERCARE</t>
  </si>
  <si>
    <t xml:space="preserve">A. Cutover checklist (T-7 đến T+1)</t>
  </si>
  <si>
    <t xml:space="preserve">Day</t>
  </si>
  <si>
    <t xml:space="preserve">Task</t>
  </si>
  <si>
    <t xml:space="preserve">Date thực hiện</t>
  </si>
  <si>
    <t xml:space="preserve">Notes</t>
  </si>
  <si>
    <t xml:space="preserve">T-14</t>
  </si>
  <si>
    <t xml:space="preserve">Final UAT round 2 (sau khi fix UAT round 1)</t>
  </si>
  <si>
    <t xml:space="preserve">Setup environment production NP (subdomain, SSL, DB)</t>
  </si>
  <si>
    <t xml:space="preserve">T-7</t>
  </si>
  <si>
    <t xml:space="preserve">Backup Excel cũ + lưu Google Drive snapshot</t>
  </si>
  <si>
    <t xml:space="preserve">Phòng rollback</t>
  </si>
  <si>
    <t xml:space="preserve">Import master data: NV, customer, service catalog</t>
  </si>
  <si>
    <t xml:space="preserve">T-5</t>
  </si>
  <si>
    <t xml:space="preserve">Import tier HH config từ Diễm</t>
  </si>
  <si>
    <t xml:space="preserve">Diễm + Dev</t>
  </si>
  <si>
    <t xml:space="preserve">Setup Zalo OA notification template + duyệt</t>
  </si>
  <si>
    <t xml:space="preserve">Phú</t>
  </si>
  <si>
    <t xml:space="preserve">Cần 5-7 ngày duyệt</t>
  </si>
  <si>
    <t xml:space="preserve">Smoke test toàn bộ flow trên prod</t>
  </si>
  <si>
    <t xml:space="preserve">Training toàn bộ NP (theo Training Plan tab 8)</t>
  </si>
  <si>
    <t xml:space="preserve">T-1</t>
  </si>
  <si>
    <t xml:space="preserve">Anh Nguyên sign-off go-live</t>
  </si>
  <si>
    <t xml:space="preserve">Bằng văn bản qua email</t>
  </si>
  <si>
    <t xml:space="preserve">Communication 'ngày mai go-live' Zalo group</t>
  </si>
  <si>
    <t xml:space="preserve">T0</t>
  </si>
  <si>
    <t xml:space="preserve">Go-live - bật prod cho NP dùng</t>
  </si>
  <si>
    <t xml:space="preserve">Diễm chạy parallel với Excel ngày đầu</t>
  </si>
  <si>
    <t xml:space="preserve">So sánh kết quả</t>
  </si>
  <si>
    <t xml:space="preserve">T+1</t>
  </si>
  <si>
    <t xml:space="preserve">Daily check + hot fix bug</t>
  </si>
  <si>
    <t xml:space="preserve">Hypercare W1</t>
  </si>
  <si>
    <t xml:space="preserve">T+3</t>
  </si>
  <si>
    <t xml:space="preserve">Họp với Diễm review 3 ngày đầu</t>
  </si>
  <si>
    <t xml:space="preserve">T+7</t>
  </si>
  <si>
    <t xml:space="preserve">Họp với 5 NV review tuần 1</t>
  </si>
  <si>
    <t xml:space="preserve">B. Data migration</t>
  </si>
  <si>
    <t xml:space="preserve">Data type</t>
  </si>
  <si>
    <t xml:space="preserve">Source</t>
  </si>
  <si>
    <t xml:space="preserve">Destination</t>
  </si>
  <si>
    <t xml:space="preserve">Master NV (8 người)</t>
  </si>
  <si>
    <t xml:space="preserve">Excel NP + iHOS</t>
  </si>
  <si>
    <t xml:space="preserve">App users table</t>
  </si>
  <si>
    <t xml:space="preserve">Email, SĐT, role, tier</t>
  </si>
  <si>
    <t xml:space="preserve">Master customer</t>
  </si>
  <si>
    <t xml:space="preserve">iHOS export</t>
  </si>
  <si>
    <t xml:space="preserve">App customers</t>
  </si>
  <si>
    <t xml:space="preserve">Có thể skip nếu Customer flow ở v1.5</t>
  </si>
  <si>
    <t xml:space="preserve">Service catalog</t>
  </si>
  <si>
    <t xml:space="preserve">iHOS + Excel</t>
  </si>
  <si>
    <t xml:space="preserve">App services</t>
  </si>
  <si>
    <t xml:space="preserve">Tier % mỗi service</t>
  </si>
  <si>
    <t xml:space="preserve">Tier HH config</t>
  </si>
  <si>
    <t xml:space="preserve">Excel Diễm</t>
  </si>
  <si>
    <t xml:space="preserve">App commission_tiers</t>
  </si>
  <si>
    <t xml:space="preserve">Validate với Diễm</t>
  </si>
  <si>
    <t xml:space="preserve">Historical orders 30 ngày</t>
  </si>
  <si>
    <t xml:space="preserve">App orders (optional)</t>
  </si>
  <si>
    <t xml:space="preserve">Optional, không bắt buộc</t>
  </si>
  <si>
    <t xml:space="preserve">Auto rule HH</t>
  </si>
  <si>
    <t xml:space="preserve">Đề xuất từ B4 rules</t>
  </si>
  <si>
    <t xml:space="preserve">App auto_rules</t>
  </si>
  <si>
    <t xml:space="preserve">C. Hypercare 30 ngày</t>
  </si>
  <si>
    <t xml:space="preserve">Tuần</t>
  </si>
  <si>
    <t xml:space="preserve">Cadence</t>
  </si>
  <si>
    <t xml:space="preserve">Output</t>
  </si>
  <si>
    <t xml:space="preserve">W1</t>
  </si>
  <si>
    <t xml:space="preserve">Daily check bug + ưu tiên fix trong 24h</t>
  </si>
  <si>
    <t xml:space="preserve">Bug log update</t>
  </si>
  <si>
    <t xml:space="preserve">Daily 15 phút check-in với Diễm</t>
  </si>
  <si>
    <t xml:space="preserve">Issue ngắn</t>
  </si>
  <si>
    <t xml:space="preserve">W2</t>
  </si>
  <si>
    <t xml:space="preserve">Weekly review với 5 NV NP</t>
  </si>
  <si>
    <t xml:space="preserve">Feedback list</t>
  </si>
  <si>
    <t xml:space="preserve">Đo KPI lần 1 (Diễm tính HH ngày 5)</t>
  </si>
  <si>
    <t xml:space="preserve">1 lần</t>
  </si>
  <si>
    <t xml:space="preserve">Phú + Diễm</t>
  </si>
  <si>
    <t xml:space="preserve">KPI T+30 sheet</t>
  </si>
  <si>
    <t xml:space="preserve">W3</t>
  </si>
  <si>
    <t xml:space="preserve">Họp với anh Nguyên review 3 tuần</t>
  </si>
  <si>
    <t xml:space="preserve">Adjustment list</t>
  </si>
  <si>
    <t xml:space="preserve">Bi-weekly bug review</t>
  </si>
  <si>
    <t xml:space="preserve">Bi-weekly</t>
  </si>
  <si>
    <t xml:space="preserve">Backlog clean</t>
  </si>
  <si>
    <t xml:space="preserve">W4</t>
  </si>
  <si>
    <t xml:space="preserve">Đo KPI 30 ngày + report cho anh Nguyên</t>
  </si>
  <si>
    <t xml:space="preserve">Tab 10 KPI</t>
  </si>
  <si>
    <t xml:space="preserve">Quyết định handover sang BAU hay extend hypercare</t>
  </si>
  <si>
    <t xml:space="preserve">BƯỚC 10: BENEFITS REALIZATION &amp; CLOSURE</t>
  </si>
  <si>
    <t xml:space="preserve">A. KPI tracking 30/60/90 ngày sau go-live</t>
  </si>
  <si>
    <t xml:space="preserve">T+30</t>
  </si>
  <si>
    <t xml:space="preserve">T+60</t>
  </si>
  <si>
    <t xml:space="preserve">T+90</t>
  </si>
  <si>
    <t xml:space="preserve">Thời gian Diễm tính HH (giờ/tháng)</t>
  </si>
  <si>
    <t xml:space="preserve">≤ 0.5</t>
  </si>
  <si>
    <t xml:space="preserve">Sai sót HH (%)</t>
  </si>
  <si>
    <t xml:space="preserve">≤ 1%</t>
  </si>
  <si>
    <t xml:space="preserve">NV tự check HH qua app (%)</t>
  </si>
  <si>
    <t xml:space="preserve">≥ 80%</t>
  </si>
  <si>
    <t xml:space="preserve">Khiếu nại HH/tháng (lần)</t>
  </si>
  <si>
    <t xml:space="preserve">TBD - 50%</t>
  </si>
  <si>
    <t xml:space="preserve">Hài lòng NV (1-10)</t>
  </si>
  <si>
    <t xml:space="preserve">≥ 7</t>
  </si>
  <si>
    <t xml:space="preserve">Hài lòng anh Nguyên + Diễm (1-10)</t>
  </si>
  <si>
    <t xml:space="preserve">≥ 8</t>
  </si>
  <si>
    <t xml:space="preserve">% đơn HH duyệt đúng cycle (ngày 5)</t>
  </si>
  <si>
    <t xml:space="preserve">≥ 95%</t>
  </si>
  <si>
    <t xml:space="preserve">App uptime</t>
  </si>
  <si>
    <t xml:space="preserve">≥ 99%</t>
  </si>
  <si>
    <t xml:space="preserve">B. Lessons learned (điền sau go-live)</t>
  </si>
  <si>
    <t xml:space="preserve">Category</t>
  </si>
  <si>
    <t xml:space="preserve">Lesson</t>
  </si>
  <si>
    <t xml:space="preserve">Impact</t>
  </si>
  <si>
    <t xml:space="preserve">Action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</si>
  <si>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</si>
  <si>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</si>
  <si>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</si>
  <si>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</si>
  <si>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</si>
  <si>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</si>
  <si>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</si>
  <si>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</si>
  <si>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</si>
  <si>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</si>
  <si>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C. Closure checklist</t>
  </si>
  <si>
    <t xml:space="preserve">Item</t>
  </si>
  <si>
    <t xml:space="preserve">Date done</t>
  </si>
  <si>
    <t xml:space="preserve">Đo KPI T+30 + viết report cho anh Nguyên</t>
  </si>
  <si>
    <t xml:space="preserve">Anh Nguyên ký biên bản nghiệm thu</t>
  </si>
  <si>
    <t xml:space="preserve">Documentation handover: Run-book + Admin manual cho NP</t>
  </si>
  <si>
    <t xml:space="preserve">Final invoice + thanh toán</t>
  </si>
  <si>
    <t xml:space="preserve">Lessons learned workshop 1PDM nội bộ</t>
  </si>
  <si>
    <t xml:space="preserve">T+33</t>
  </si>
  <si>
    <t xml:space="preserve">Closure report (1 trang) gửi anh Nguyên</t>
  </si>
  <si>
    <t xml:space="preserve">Setup support kênh ổn định cho NP</t>
  </si>
  <si>
    <t xml:space="preserve">Zalo group hỗ trợ</t>
  </si>
  <si>
    <t xml:space="preserve">Case study marketing cho 1PDM</t>
  </si>
  <si>
    <t xml:space="preserve">Phú + Marketing</t>
  </si>
  <si>
    <t xml:space="preserve">T+45</t>
  </si>
  <si>
    <t xml:space="preserve">Bán cho phòng khám khác</t>
  </si>
  <si>
    <t xml:space="preserve">SaaS-ify product để bán phòng khám khác</t>
  </si>
  <si>
    <t xml:space="preserve">Roadmap riêng</t>
  </si>
  <si>
    <t xml:space="preserve">Đo KPI T+60 + adjust</t>
  </si>
  <si>
    <t xml:space="preserve">Đo KPI T+90 + final close project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</si>
</sst>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4E7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DAEEF3"/>
      </patternFill>
    </fill>
    <fill>
      <patternFill patternType="solid">
        <fgColor rgb="FFFFF2CC"/>
        <bgColor rgb="FFFCE4D6"/>
      </patternFill>
    </fill>
    <fill>
      <patternFill patternType="solid">
        <fgColor rgb="FFDAEEF3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DED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7" min="5" style="0" width="14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n">
        <v>1</v>
      </c>
      <c r="B5" s="4" t="s">
        <v>10</v>
      </c>
      <c r="C5" s="4" t="s">
        <v>11</v>
      </c>
      <c r="D5" s="4" t="s">
        <v>12</v>
      </c>
      <c r="E5" s="5" t="s">
        <v>13</v>
      </c>
      <c r="F5" s="4" t="s">
        <v>14</v>
      </c>
      <c r="G5" s="4" t="s">
        <v>15</v>
      </c>
      <c r="H5" s="4" t="s">
        <v>16</v>
      </c>
    </row>
    <row r="6" customFormat="false" ht="15" hidden="false" customHeight="false" outlineLevel="0" collapsed="false">
      <c r="A6" s="4" t="n">
        <v>2</v>
      </c>
      <c r="B6" s="4" t="s">
        <v>10</v>
      </c>
      <c r="C6" s="4" t="s">
        <v>17</v>
      </c>
      <c r="D6" s="4" t="s">
        <v>18</v>
      </c>
      <c r="E6" s="5" t="s">
        <v>13</v>
      </c>
      <c r="F6" s="4" t="s">
        <v>19</v>
      </c>
      <c r="G6" s="4" t="s">
        <v>15</v>
      </c>
      <c r="H6" s="4" t="s">
        <v>20</v>
      </c>
    </row>
    <row r="7" customFormat="false" ht="15" hidden="false" customHeight="false" outlineLevel="0" collapsed="false">
      <c r="A7" s="4" t="n">
        <v>3</v>
      </c>
      <c r="B7" s="4" t="s">
        <v>21</v>
      </c>
      <c r="C7" s="4" t="s">
        <v>22</v>
      </c>
      <c r="D7" s="4" t="s">
        <v>23</v>
      </c>
      <c r="E7" s="5" t="s">
        <v>13</v>
      </c>
      <c r="F7" s="4" t="s">
        <v>24</v>
      </c>
      <c r="G7" s="4" t="s">
        <v>25</v>
      </c>
      <c r="H7" s="4" t="s">
        <v>26</v>
      </c>
    </row>
    <row r="8" customFormat="false" ht="23.85" hidden="false" customHeight="false" outlineLevel="0" collapsed="false">
      <c r="A8" s="4" t="n">
        <v>4</v>
      </c>
      <c r="B8" s="4" t="s">
        <v>21</v>
      </c>
      <c r="C8" s="4" t="s">
        <v>27</v>
      </c>
      <c r="D8" s="4" t="s">
        <v>28</v>
      </c>
      <c r="E8" s="5" t="s">
        <v>13</v>
      </c>
      <c r="F8" s="4" t="s">
        <v>29</v>
      </c>
      <c r="G8" s="4" t="s">
        <v>30</v>
      </c>
      <c r="H8" s="4" t="s">
        <v>31</v>
      </c>
    </row>
    <row r="9" customFormat="false" ht="15" hidden="false" customHeight="false" outlineLevel="0" collapsed="false">
      <c r="A9" s="4" t="n">
        <v>5</v>
      </c>
      <c r="B9" s="4" t="s">
        <v>32</v>
      </c>
      <c r="C9" s="4" t="s">
        <v>33</v>
      </c>
      <c r="D9" s="4" t="s">
        <v>34</v>
      </c>
      <c r="E9" s="5" t="s">
        <v>13</v>
      </c>
      <c r="F9" s="4" t="s">
        <v>19</v>
      </c>
      <c r="G9" s="4" t="s">
        <v>35</v>
      </c>
      <c r="H9" s="4" t="s">
        <v>36</v>
      </c>
    </row>
    <row r="10" customFormat="false" ht="15" hidden="false" customHeight="false" outlineLevel="0" collapsed="false">
      <c r="A10" s="4" t="n">
        <v>6</v>
      </c>
      <c r="B10" s="4" t="s">
        <v>32</v>
      </c>
      <c r="C10" s="4" t="s">
        <v>37</v>
      </c>
      <c r="D10" s="4" t="s">
        <v>38</v>
      </c>
      <c r="E10" s="6" t="s">
        <v>39</v>
      </c>
      <c r="F10" s="4" t="s">
        <v>40</v>
      </c>
      <c r="G10" s="4" t="s">
        <v>41</v>
      </c>
      <c r="H10" s="4" t="s">
        <v>42</v>
      </c>
    </row>
    <row r="11" customFormat="false" ht="15" hidden="false" customHeight="false" outlineLevel="0" collapsed="false">
      <c r="A11" s="4" t="n">
        <v>7</v>
      </c>
      <c r="B11" s="4" t="s">
        <v>43</v>
      </c>
      <c r="C11" s="4" t="s">
        <v>44</v>
      </c>
      <c r="D11" s="4" t="s">
        <v>45</v>
      </c>
      <c r="E11" s="6" t="s">
        <v>39</v>
      </c>
      <c r="F11" s="4" t="s">
        <v>46</v>
      </c>
      <c r="G11" s="4" t="s">
        <v>47</v>
      </c>
      <c r="H11" s="4" t="s">
        <v>48</v>
      </c>
    </row>
    <row r="12" customFormat="false" ht="15" hidden="false" customHeight="false" outlineLevel="0" collapsed="false">
      <c r="A12" s="4" t="n">
        <v>8</v>
      </c>
      <c r="B12" s="4" t="s">
        <v>49</v>
      </c>
      <c r="C12" s="4" t="s">
        <v>50</v>
      </c>
      <c r="D12" s="4" t="s">
        <v>51</v>
      </c>
      <c r="E12" s="5" t="s">
        <v>13</v>
      </c>
      <c r="F12" s="4" t="s">
        <v>52</v>
      </c>
      <c r="G12" s="4" t="s">
        <v>53</v>
      </c>
      <c r="H12" s="4" t="s">
        <v>54</v>
      </c>
    </row>
    <row r="13" customFormat="false" ht="15" hidden="false" customHeight="false" outlineLevel="0" collapsed="false">
      <c r="A13" s="4" t="n">
        <v>9</v>
      </c>
      <c r="B13" s="4" t="s">
        <v>55</v>
      </c>
      <c r="C13" s="4" t="s">
        <v>56</v>
      </c>
      <c r="D13" s="4" t="s">
        <v>57</v>
      </c>
      <c r="E13" s="5" t="s">
        <v>13</v>
      </c>
      <c r="F13" s="4" t="s">
        <v>58</v>
      </c>
      <c r="G13" s="4" t="s">
        <v>59</v>
      </c>
      <c r="H13" s="4" t="s">
        <v>60</v>
      </c>
    </row>
    <row r="14" customFormat="false" ht="15" hidden="false" customHeight="false" outlineLevel="0" collapsed="false">
      <c r="A14" s="4" t="n">
        <v>10</v>
      </c>
      <c r="B14" s="4" t="s">
        <v>61</v>
      </c>
      <c r="C14" s="4" t="s">
        <v>62</v>
      </c>
      <c r="D14" s="4" t="s">
        <v>63</v>
      </c>
      <c r="E14" s="5" t="s">
        <v>13</v>
      </c>
      <c r="F14" s="4" t="s">
        <v>64</v>
      </c>
      <c r="G14" s="4" t="s">
        <v>65</v>
      </c>
      <c r="H14" s="4" t="s">
        <v>66</v>
      </c>
    </row>
    <row r="17" customFormat="false" ht="15" hidden="false" customHeight="false" outlineLevel="0" collapsed="false">
      <c r="A17" s="7" t="s">
        <v>67</v>
      </c>
      <c r="B17" s="8" t="s">
        <v>68</v>
      </c>
      <c r="C17" s="9" t="s">
        <v>39</v>
      </c>
      <c r="D17" s="10" t="s">
        <v>13</v>
      </c>
      <c r="E17" s="11" t="s">
        <v>69</v>
      </c>
    </row>
    <row r="19" customFormat="false" ht="15" hidden="false" customHeight="false" outlineLevel="0" collapsed="false">
      <c r="A19" s="12" t="s">
        <v>70</v>
      </c>
      <c r="B19" s="12"/>
      <c r="C19" s="12"/>
      <c r="D19" s="12"/>
      <c r="E19" s="12"/>
      <c r="F19" s="12"/>
      <c r="G19" s="12"/>
      <c r="H19" s="12"/>
    </row>
    <row r="20" customFormat="false" ht="15" hidden="false" customHeight="true" outlineLevel="0" collapsed="false">
      <c r="A20" s="13" t="s">
        <v>71</v>
      </c>
      <c r="B20" s="13"/>
      <c r="C20" s="13"/>
      <c r="D20" s="13"/>
      <c r="E20" s="13"/>
      <c r="F20" s="13"/>
      <c r="G20" s="13"/>
      <c r="H20" s="13"/>
    </row>
    <row r="21" customFormat="false" ht="15" hidden="false" customHeight="true" outlineLevel="0" collapsed="false">
      <c r="A21" s="13" t="s">
        <v>72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13" t="s">
        <v>73</v>
      </c>
      <c r="B22" s="13"/>
      <c r="C22" s="13"/>
      <c r="D22" s="13"/>
      <c r="E22" s="13"/>
      <c r="F22" s="13"/>
      <c r="G22" s="13"/>
      <c r="H22" s="13"/>
    </row>
    <row r="23" customFormat="false" ht="15" hidden="false" customHeight="true" outlineLevel="0" collapsed="false">
      <c r="A23" s="13" t="s">
        <v>74</v>
      </c>
      <c r="B23" s="13"/>
      <c r="C23" s="13"/>
      <c r="D23" s="13"/>
      <c r="E23" s="13"/>
      <c r="F23" s="13"/>
      <c r="G23" s="13"/>
      <c r="H23" s="13"/>
    </row>
    <row r="24" customFormat="false" ht="15" hidden="false" customHeight="true" outlineLevel="0" collapsed="false">
      <c r="A24" s="13" t="s">
        <v>75</v>
      </c>
      <c r="B24" s="13"/>
      <c r="C24" s="13"/>
      <c r="D24" s="13"/>
      <c r="E24" s="13"/>
      <c r="F24" s="13"/>
      <c r="G24" s="13"/>
      <c r="H24" s="13"/>
    </row>
  </sheetData>
  <mergeCells count="8">
    <mergeCell ref="A1:H1"/>
    <mergeCell ref="A2:H2"/>
    <mergeCell ref="A19:H19"/>
    <mergeCell ref="A20:H20"/>
    <mergeCell ref="A21:H21"/>
    <mergeCell ref="A22:H22"/>
    <mergeCell ref="A23:H23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72"/>
  </cols>
  <sheetData>
    <row r="1" customFormat="false" ht="17.35" hidden="false" customHeight="false" outlineLevel="0" collapsed="false">
      <c r="A1" s="14" t="s">
        <v>76</v>
      </c>
      <c r="B1" s="14"/>
      <c r="C1" s="14"/>
    </row>
    <row r="2" customFormat="false" ht="15" hidden="false" customHeight="false" outlineLevel="0" collapsed="false">
      <c r="A2" s="15" t="s">
        <v>77</v>
      </c>
      <c r="B2" s="15"/>
      <c r="C2" s="15"/>
    </row>
    <row r="4" customFormat="false" ht="21.75" hidden="false" customHeight="true" outlineLevel="0" collapsed="false">
      <c r="A4" s="16" t="s">
        <v>78</v>
      </c>
      <c r="B4" s="16"/>
      <c r="C4" s="16"/>
    </row>
    <row r="5" customFormat="false" ht="15" hidden="false" customHeight="false" outlineLevel="0" collapsed="false">
      <c r="A5" s="4"/>
      <c r="B5" s="17" t="s">
        <v>79</v>
      </c>
      <c r="C5" s="4" t="s">
        <v>80</v>
      </c>
    </row>
    <row r="6" customFormat="false" ht="15" hidden="false" customHeight="false" outlineLevel="0" collapsed="false">
      <c r="A6" s="4"/>
      <c r="B6" s="17" t="s">
        <v>81</v>
      </c>
      <c r="C6" s="4" t="s">
        <v>82</v>
      </c>
    </row>
    <row r="7" customFormat="false" ht="15" hidden="false" customHeight="false" outlineLevel="0" collapsed="false">
      <c r="A7" s="4"/>
      <c r="B7" s="17" t="s">
        <v>83</v>
      </c>
      <c r="C7" s="4" t="s">
        <v>84</v>
      </c>
    </row>
    <row r="8" customFormat="false" ht="15" hidden="false" customHeight="false" outlineLevel="0" collapsed="false">
      <c r="A8" s="4"/>
      <c r="B8" s="17" t="s">
        <v>85</v>
      </c>
      <c r="C8" s="4" t="s">
        <v>86</v>
      </c>
    </row>
    <row r="9" customFormat="false" ht="15" hidden="false" customHeight="false" outlineLevel="0" collapsed="false">
      <c r="A9" s="4"/>
      <c r="B9" s="17" t="s">
        <v>87</v>
      </c>
      <c r="C9" s="4" t="s">
        <v>88</v>
      </c>
    </row>
    <row r="10" customFormat="false" ht="15" hidden="false" customHeight="false" outlineLevel="0" collapsed="false">
      <c r="A10" s="4"/>
      <c r="B10" s="17" t="s">
        <v>89</v>
      </c>
      <c r="C10" s="4" t="s">
        <v>90</v>
      </c>
    </row>
    <row r="11" customFormat="false" ht="15" hidden="false" customHeight="false" outlineLevel="0" collapsed="false">
      <c r="A11" s="4"/>
      <c r="B11" s="17" t="s">
        <v>19</v>
      </c>
      <c r="C11" s="4" t="s">
        <v>91</v>
      </c>
    </row>
    <row r="12" customFormat="false" ht="15" hidden="false" customHeight="false" outlineLevel="0" collapsed="false">
      <c r="A12" s="4"/>
      <c r="B12" s="17" t="s">
        <v>92</v>
      </c>
      <c r="C12" s="4" t="s">
        <v>93</v>
      </c>
    </row>
    <row r="13" customFormat="false" ht="23.85" hidden="false" customHeight="false" outlineLevel="0" collapsed="false">
      <c r="A13" s="4"/>
      <c r="B13" s="17" t="s">
        <v>94</v>
      </c>
      <c r="C13" s="4" t="s">
        <v>95</v>
      </c>
    </row>
    <row r="14" customFormat="false" ht="15" hidden="false" customHeight="false" outlineLevel="0" collapsed="false">
      <c r="A14" s="4"/>
      <c r="B14" s="17" t="s">
        <v>96</v>
      </c>
      <c r="C14" s="4" t="s">
        <v>97</v>
      </c>
    </row>
    <row r="15" customFormat="false" ht="15" hidden="false" customHeight="false" outlineLevel="0" collapsed="false">
      <c r="A15" s="4"/>
      <c r="B15" s="17" t="s">
        <v>98</v>
      </c>
      <c r="C15" s="4" t="s">
        <v>99</v>
      </c>
    </row>
    <row r="17" customFormat="false" ht="21.75" hidden="false" customHeight="true" outlineLevel="0" collapsed="false">
      <c r="A17" s="16" t="s">
        <v>100</v>
      </c>
      <c r="B17" s="16"/>
      <c r="C17" s="16"/>
    </row>
    <row r="18" customFormat="false" ht="23.85" hidden="false" customHeight="false" outlineLevel="0" collapsed="false">
      <c r="A18" s="4"/>
      <c r="B18" s="4"/>
      <c r="C18" s="4" t="s">
        <v>101</v>
      </c>
    </row>
    <row r="19" customFormat="false" ht="15" hidden="false" customHeight="false" outlineLevel="0" collapsed="false">
      <c r="A19" s="4"/>
      <c r="B19" s="4"/>
      <c r="C19" s="4" t="s">
        <v>102</v>
      </c>
    </row>
    <row r="20" customFormat="false" ht="15" hidden="false" customHeight="false" outlineLevel="0" collapsed="false">
      <c r="A20" s="4"/>
      <c r="B20" s="4"/>
      <c r="C20" s="4" t="s">
        <v>103</v>
      </c>
    </row>
    <row r="21" customFormat="false" ht="15" hidden="false" customHeight="false" outlineLevel="0" collapsed="false">
      <c r="A21" s="4"/>
      <c r="B21" s="4"/>
      <c r="C21" s="4" t="s">
        <v>104</v>
      </c>
    </row>
    <row r="22" customFormat="false" ht="15" hidden="false" customHeight="false" outlineLevel="0" collapsed="false">
      <c r="A22" s="4"/>
      <c r="B22" s="4"/>
      <c r="C22" s="4" t="s">
        <v>105</v>
      </c>
    </row>
    <row r="24" customFormat="false" ht="21.75" hidden="false" customHeight="true" outlineLevel="0" collapsed="false">
      <c r="A24" s="16" t="s">
        <v>106</v>
      </c>
      <c r="B24" s="16"/>
      <c r="C24" s="16"/>
    </row>
    <row r="25" customFormat="false" ht="15" hidden="false" customHeight="false" outlineLevel="0" collapsed="false">
      <c r="A25" s="4"/>
      <c r="B25" s="4"/>
      <c r="C25" s="18" t="s">
        <v>107</v>
      </c>
    </row>
    <row r="26" customFormat="false" ht="15" hidden="false" customHeight="false" outlineLevel="0" collapsed="false">
      <c r="A26" s="4"/>
      <c r="B26" s="4"/>
      <c r="C26" s="18" t="s">
        <v>108</v>
      </c>
    </row>
    <row r="27" customFormat="false" ht="15" hidden="false" customHeight="false" outlineLevel="0" collapsed="false">
      <c r="A27" s="4"/>
      <c r="B27" s="4"/>
      <c r="C27" s="18" t="s">
        <v>109</v>
      </c>
    </row>
    <row r="28" customFormat="false" ht="15" hidden="false" customHeight="false" outlineLevel="0" collapsed="false">
      <c r="A28" s="4"/>
      <c r="B28" s="4"/>
      <c r="C28" s="18" t="s">
        <v>110</v>
      </c>
    </row>
    <row r="29" customFormat="false" ht="15" hidden="false" customHeight="false" outlineLevel="0" collapsed="false">
      <c r="A29" s="4"/>
      <c r="B29" s="4"/>
      <c r="C29" s="18" t="s">
        <v>111</v>
      </c>
    </row>
    <row r="30" customFormat="false" ht="15" hidden="false" customHeight="false" outlineLevel="0" collapsed="false">
      <c r="A30" s="4"/>
      <c r="B30" s="4"/>
      <c r="C30" s="18" t="s">
        <v>112</v>
      </c>
    </row>
    <row r="31" customFormat="false" ht="15" hidden="false" customHeight="false" outlineLevel="0" collapsed="false">
      <c r="A31" s="4"/>
      <c r="B31" s="4"/>
      <c r="C31" s="18" t="s">
        <v>113</v>
      </c>
    </row>
    <row r="32" customFormat="false" ht="15" hidden="false" customHeight="false" outlineLevel="0" collapsed="false">
      <c r="A32" s="4"/>
      <c r="B32" s="4"/>
      <c r="C32" s="18" t="s">
        <v>114</v>
      </c>
    </row>
    <row r="33" customFormat="false" ht="15" hidden="false" customHeight="false" outlineLevel="0" collapsed="false">
      <c r="A33" s="4"/>
      <c r="B33" s="4"/>
      <c r="C33" s="18" t="s">
        <v>115</v>
      </c>
    </row>
    <row r="34" customFormat="false" ht="15" hidden="false" customHeight="false" outlineLevel="0" collapsed="false">
      <c r="A34" s="4"/>
      <c r="B34" s="4"/>
      <c r="C34" s="18" t="s">
        <v>116</v>
      </c>
    </row>
    <row r="36" customFormat="false" ht="21.75" hidden="false" customHeight="true" outlineLevel="0" collapsed="false">
      <c r="A36" s="16" t="s">
        <v>117</v>
      </c>
      <c r="B36" s="16"/>
      <c r="C36" s="16"/>
    </row>
    <row r="37" customFormat="false" ht="23.85" hidden="false" customHeight="false" outlineLevel="0" collapsed="false">
      <c r="A37" s="4"/>
      <c r="B37" s="4"/>
      <c r="C37" s="19" t="s">
        <v>118</v>
      </c>
    </row>
    <row r="38" customFormat="false" ht="15" hidden="false" customHeight="false" outlineLevel="0" collapsed="false">
      <c r="A38" s="4"/>
      <c r="B38" s="4"/>
      <c r="C38" s="19" t="s">
        <v>119</v>
      </c>
    </row>
    <row r="39" customFormat="false" ht="15" hidden="false" customHeight="false" outlineLevel="0" collapsed="false">
      <c r="A39" s="4"/>
      <c r="B39" s="4"/>
      <c r="C39" s="19" t="s">
        <v>120</v>
      </c>
    </row>
    <row r="40" customFormat="false" ht="15" hidden="false" customHeight="false" outlineLevel="0" collapsed="false">
      <c r="A40" s="4"/>
      <c r="B40" s="4"/>
      <c r="C40" s="19" t="s">
        <v>121</v>
      </c>
    </row>
    <row r="41" customFormat="false" ht="15" hidden="false" customHeight="false" outlineLevel="0" collapsed="false">
      <c r="A41" s="4"/>
      <c r="B41" s="4"/>
      <c r="C41" s="19" t="s">
        <v>122</v>
      </c>
    </row>
    <row r="42" customFormat="false" ht="15" hidden="false" customHeight="false" outlineLevel="0" collapsed="false">
      <c r="A42" s="4"/>
      <c r="B42" s="4"/>
      <c r="C42" s="19" t="s">
        <v>123</v>
      </c>
    </row>
    <row r="44" customFormat="false" ht="21.75" hidden="false" customHeight="true" outlineLevel="0" collapsed="false">
      <c r="A44" s="16" t="s">
        <v>124</v>
      </c>
      <c r="B44" s="16"/>
      <c r="C44" s="16"/>
    </row>
    <row r="45" customFormat="false" ht="15" hidden="false" customHeight="false" outlineLevel="0" collapsed="false">
      <c r="A45" s="4"/>
      <c r="B45" s="17" t="s">
        <v>125</v>
      </c>
      <c r="C45" s="4" t="s">
        <v>126</v>
      </c>
    </row>
    <row r="46" customFormat="false" ht="15" hidden="false" customHeight="false" outlineLevel="0" collapsed="false">
      <c r="A46" s="4"/>
      <c r="B46" s="17" t="s">
        <v>127</v>
      </c>
      <c r="C46" s="4" t="s">
        <v>53</v>
      </c>
    </row>
    <row r="47" customFormat="false" ht="15" hidden="false" customHeight="false" outlineLevel="0" collapsed="false">
      <c r="A47" s="4"/>
      <c r="B47" s="17" t="s">
        <v>128</v>
      </c>
      <c r="C47" s="4" t="s">
        <v>59</v>
      </c>
    </row>
    <row r="48" customFormat="false" ht="15" hidden="false" customHeight="false" outlineLevel="0" collapsed="false">
      <c r="A48" s="4"/>
      <c r="B48" s="17" t="s">
        <v>129</v>
      </c>
      <c r="C48" s="4" t="s">
        <v>130</v>
      </c>
    </row>
    <row r="50" customFormat="false" ht="21.75" hidden="false" customHeight="true" outlineLevel="0" collapsed="false">
      <c r="A50" s="16" t="s">
        <v>131</v>
      </c>
      <c r="B50" s="16"/>
      <c r="C50" s="16"/>
    </row>
    <row r="51" customFormat="false" ht="15" hidden="false" customHeight="false" outlineLevel="0" collapsed="false">
      <c r="A51" s="4"/>
      <c r="B51" s="17" t="s">
        <v>132</v>
      </c>
      <c r="C51" s="4" t="s">
        <v>133</v>
      </c>
    </row>
    <row r="52" customFormat="false" ht="15" hidden="false" customHeight="false" outlineLevel="0" collapsed="false">
      <c r="A52" s="4"/>
      <c r="B52" s="17" t="s">
        <v>134</v>
      </c>
      <c r="C52" s="4" t="s">
        <v>135</v>
      </c>
    </row>
    <row r="53" customFormat="false" ht="15" hidden="false" customHeight="false" outlineLevel="0" collapsed="false">
      <c r="A53" s="4"/>
      <c r="B53" s="17" t="s">
        <v>136</v>
      </c>
      <c r="C53" s="4" t="s">
        <v>137</v>
      </c>
    </row>
    <row r="54" customFormat="false" ht="15" hidden="false" customHeight="false" outlineLevel="0" collapsed="false">
      <c r="A54" s="4"/>
      <c r="B54" s="17" t="s">
        <v>138</v>
      </c>
      <c r="C54" s="4" t="s">
        <v>139</v>
      </c>
    </row>
    <row r="55" customFormat="false" ht="15" hidden="false" customHeight="false" outlineLevel="0" collapsed="false">
      <c r="A55" s="4"/>
      <c r="B55" s="17" t="s">
        <v>140</v>
      </c>
      <c r="C55" s="4" t="s">
        <v>141</v>
      </c>
    </row>
    <row r="56" customFormat="false" ht="15" hidden="false" customHeight="false" outlineLevel="0" collapsed="false">
      <c r="A56" s="4"/>
      <c r="B56" s="17" t="s">
        <v>142</v>
      </c>
      <c r="C56" s="4" t="s">
        <v>143</v>
      </c>
    </row>
    <row r="57" customFormat="false" ht="15" hidden="false" customHeight="false" outlineLevel="0" collapsed="false">
      <c r="A57" s="4"/>
      <c r="B57" s="17" t="s">
        <v>144</v>
      </c>
      <c r="C57" s="4" t="s">
        <v>145</v>
      </c>
    </row>
    <row r="59" customFormat="false" ht="21.75" hidden="false" customHeight="true" outlineLevel="0" collapsed="false">
      <c r="A59" s="16" t="s">
        <v>146</v>
      </c>
      <c r="B59" s="16"/>
      <c r="C59" s="16"/>
    </row>
    <row r="60" customFormat="false" ht="15" hidden="false" customHeight="false" outlineLevel="0" collapsed="false">
      <c r="A60" s="4"/>
      <c r="B60" s="4"/>
      <c r="C60" s="4" t="s">
        <v>147</v>
      </c>
    </row>
    <row r="61" customFormat="false" ht="15" hidden="false" customHeight="false" outlineLevel="0" collapsed="false">
      <c r="A61" s="4"/>
      <c r="B61" s="4"/>
      <c r="C61" s="4" t="s">
        <v>148</v>
      </c>
    </row>
    <row r="62" customFormat="false" ht="15" hidden="false" customHeight="false" outlineLevel="0" collapsed="false">
      <c r="A62" s="4"/>
      <c r="B62" s="4"/>
      <c r="C62" s="4" t="s">
        <v>149</v>
      </c>
    </row>
    <row r="63" customFormat="false" ht="15" hidden="false" customHeight="false" outlineLevel="0" collapsed="false">
      <c r="A63" s="4"/>
      <c r="B63" s="4"/>
      <c r="C63" s="4" t="s">
        <v>150</v>
      </c>
    </row>
    <row r="64" customFormat="false" ht="15" hidden="false" customHeight="false" outlineLevel="0" collapsed="false">
      <c r="A64" s="4"/>
      <c r="B64" s="4"/>
      <c r="C64" s="4" t="s">
        <v>151</v>
      </c>
    </row>
    <row r="66" customFormat="false" ht="21.75" hidden="false" customHeight="true" outlineLevel="0" collapsed="false">
      <c r="A66" s="16" t="s">
        <v>152</v>
      </c>
      <c r="B66" s="16"/>
      <c r="C66" s="16"/>
    </row>
    <row r="67" customFormat="false" ht="15" hidden="false" customHeight="false" outlineLevel="0" collapsed="false">
      <c r="A67" s="4"/>
      <c r="B67" s="17" t="s">
        <v>153</v>
      </c>
      <c r="C67" s="4" t="s">
        <v>154</v>
      </c>
    </row>
    <row r="68" customFormat="false" ht="15" hidden="false" customHeight="false" outlineLevel="0" collapsed="false">
      <c r="A68" s="4"/>
      <c r="B68" s="17" t="s">
        <v>155</v>
      </c>
      <c r="C68" s="4" t="s">
        <v>156</v>
      </c>
    </row>
    <row r="69" customFormat="false" ht="15" hidden="false" customHeight="false" outlineLevel="0" collapsed="false">
      <c r="A69" s="4"/>
      <c r="B69" s="17" t="s">
        <v>157</v>
      </c>
      <c r="C69" s="4" t="s">
        <v>158</v>
      </c>
    </row>
  </sheetData>
  <mergeCells count="10">
    <mergeCell ref="A1:C1"/>
    <mergeCell ref="A2:C2"/>
    <mergeCell ref="A4:C4"/>
    <mergeCell ref="A17:C17"/>
    <mergeCell ref="A24:C24"/>
    <mergeCell ref="A36:C36"/>
    <mergeCell ref="A44:C44"/>
    <mergeCell ref="A50:C50"/>
    <mergeCell ref="A59:C59"/>
    <mergeCell ref="A66:C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3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4" t="s">
        <v>159</v>
      </c>
      <c r="B1" s="14"/>
      <c r="C1" s="14"/>
      <c r="D1" s="14"/>
      <c r="E1" s="14"/>
      <c r="F1" s="14"/>
      <c r="G1" s="14"/>
    </row>
    <row r="3" customFormat="false" ht="21.75" hidden="false" customHeight="true" outlineLevel="0" collapsed="false">
      <c r="A3" s="16" t="s">
        <v>160</v>
      </c>
      <c r="B3" s="16"/>
      <c r="C3" s="16"/>
      <c r="D3" s="16"/>
      <c r="E3" s="16"/>
      <c r="F3" s="16"/>
      <c r="G3" s="16"/>
    </row>
    <row r="4" customFormat="false" ht="30" hidden="false" customHeight="true" outlineLevel="0" collapsed="false">
      <c r="A4" s="3" t="s">
        <v>161</v>
      </c>
      <c r="B4" s="3" t="s">
        <v>162</v>
      </c>
      <c r="C4" s="3" t="s">
        <v>163</v>
      </c>
      <c r="D4" s="3" t="s">
        <v>164</v>
      </c>
      <c r="E4" s="3" t="s">
        <v>165</v>
      </c>
      <c r="F4" s="3" t="s">
        <v>166</v>
      </c>
      <c r="G4" s="3" t="s">
        <v>167</v>
      </c>
    </row>
    <row r="5" customFormat="false" ht="23.85" hidden="false" customHeight="false" outlineLevel="0" collapsed="false">
      <c r="A5" s="4" t="s">
        <v>168</v>
      </c>
      <c r="B5" s="4" t="s">
        <v>169</v>
      </c>
      <c r="C5" s="4" t="s">
        <v>170</v>
      </c>
      <c r="D5" s="4" t="s">
        <v>170</v>
      </c>
      <c r="E5" s="4" t="s">
        <v>171</v>
      </c>
      <c r="F5" s="4" t="s">
        <v>172</v>
      </c>
      <c r="G5" s="4" t="s">
        <v>173</v>
      </c>
    </row>
    <row r="6" customFormat="false" ht="23.85" hidden="false" customHeight="false" outlineLevel="0" collapsed="false">
      <c r="A6" s="4" t="s">
        <v>174</v>
      </c>
      <c r="B6" s="4" t="s">
        <v>175</v>
      </c>
      <c r="C6" s="4" t="s">
        <v>176</v>
      </c>
      <c r="D6" s="4" t="s">
        <v>170</v>
      </c>
      <c r="E6" s="4" t="s">
        <v>177</v>
      </c>
      <c r="F6" s="4" t="s">
        <v>178</v>
      </c>
      <c r="G6" s="4" t="s">
        <v>179</v>
      </c>
    </row>
    <row r="7" customFormat="false" ht="15" hidden="false" customHeight="false" outlineLevel="0" collapsed="false">
      <c r="A7" s="4" t="s">
        <v>180</v>
      </c>
      <c r="B7" s="4" t="s">
        <v>181</v>
      </c>
      <c r="C7" s="4" t="s">
        <v>182</v>
      </c>
      <c r="D7" s="4" t="s">
        <v>170</v>
      </c>
      <c r="E7" s="4" t="s">
        <v>183</v>
      </c>
      <c r="F7" s="4" t="s">
        <v>184</v>
      </c>
      <c r="G7" s="4" t="s">
        <v>185</v>
      </c>
    </row>
    <row r="8" customFormat="false" ht="15" hidden="false" customHeight="false" outlineLevel="0" collapsed="false">
      <c r="A8" s="4" t="s">
        <v>186</v>
      </c>
      <c r="B8" s="4" t="s">
        <v>187</v>
      </c>
      <c r="C8" s="4" t="s">
        <v>182</v>
      </c>
      <c r="D8" s="4" t="s">
        <v>170</v>
      </c>
      <c r="E8" s="4" t="s">
        <v>188</v>
      </c>
      <c r="F8" s="4" t="s">
        <v>189</v>
      </c>
      <c r="G8" s="4" t="s">
        <v>185</v>
      </c>
    </row>
    <row r="9" customFormat="false" ht="15" hidden="false" customHeight="false" outlineLevel="0" collapsed="false">
      <c r="A9" s="4" t="s">
        <v>190</v>
      </c>
      <c r="B9" s="4" t="s">
        <v>191</v>
      </c>
      <c r="C9" s="4" t="s">
        <v>182</v>
      </c>
      <c r="D9" s="4" t="s">
        <v>176</v>
      </c>
      <c r="E9" s="4" t="s">
        <v>188</v>
      </c>
      <c r="F9" s="4" t="s">
        <v>192</v>
      </c>
      <c r="G9" s="4" t="s">
        <v>185</v>
      </c>
    </row>
    <row r="10" customFormat="false" ht="15" hidden="false" customHeight="false" outlineLevel="0" collapsed="false">
      <c r="A10" s="4" t="s">
        <v>193</v>
      </c>
      <c r="B10" s="4" t="s">
        <v>194</v>
      </c>
      <c r="C10" s="4" t="s">
        <v>182</v>
      </c>
      <c r="D10" s="4" t="s">
        <v>176</v>
      </c>
      <c r="E10" s="4" t="s">
        <v>188</v>
      </c>
      <c r="F10" s="4" t="s">
        <v>195</v>
      </c>
      <c r="G10" s="4" t="s">
        <v>185</v>
      </c>
    </row>
    <row r="11" customFormat="false" ht="23.85" hidden="false" customHeight="false" outlineLevel="0" collapsed="false">
      <c r="A11" s="4" t="s">
        <v>196</v>
      </c>
      <c r="B11" s="4" t="s">
        <v>197</v>
      </c>
      <c r="C11" s="4" t="s">
        <v>182</v>
      </c>
      <c r="D11" s="4" t="s">
        <v>182</v>
      </c>
      <c r="E11" s="4" t="s">
        <v>198</v>
      </c>
      <c r="F11" s="4" t="s">
        <v>199</v>
      </c>
      <c r="G11" s="4" t="s">
        <v>200</v>
      </c>
    </row>
    <row r="12" customFormat="false" ht="15" hidden="false" customHeight="false" outlineLevel="0" collapsed="false">
      <c r="A12" s="4" t="s">
        <v>201</v>
      </c>
      <c r="B12" s="4" t="s">
        <v>202</v>
      </c>
      <c r="C12" s="4" t="s">
        <v>170</v>
      </c>
      <c r="D12" s="4" t="s">
        <v>170</v>
      </c>
      <c r="E12" s="4" t="s">
        <v>85</v>
      </c>
      <c r="F12" s="4" t="s">
        <v>203</v>
      </c>
      <c r="G12" s="4" t="s">
        <v>204</v>
      </c>
    </row>
    <row r="13" customFormat="false" ht="15" hidden="false" customHeight="false" outlineLevel="0" collapsed="false">
      <c r="A13" s="4" t="s">
        <v>205</v>
      </c>
      <c r="B13" s="4" t="s">
        <v>206</v>
      </c>
      <c r="C13" s="4" t="s">
        <v>176</v>
      </c>
      <c r="D13" s="4" t="s">
        <v>170</v>
      </c>
      <c r="E13" s="4" t="s">
        <v>85</v>
      </c>
      <c r="F13" s="4" t="s">
        <v>207</v>
      </c>
      <c r="G13" s="4" t="s">
        <v>208</v>
      </c>
    </row>
    <row r="16" customFormat="false" ht="21.75" hidden="false" customHeight="true" outlineLevel="0" collapsed="false">
      <c r="A16" s="16" t="s">
        <v>209</v>
      </c>
      <c r="B16" s="16"/>
      <c r="C16" s="16"/>
      <c r="D16" s="16"/>
      <c r="E16" s="16"/>
      <c r="F16" s="16"/>
      <c r="G16" s="16"/>
    </row>
    <row r="17" customFormat="false" ht="25.5" hidden="false" customHeight="true" outlineLevel="0" collapsed="false">
      <c r="A17" s="3" t="s">
        <v>210</v>
      </c>
      <c r="B17" s="3" t="s">
        <v>201</v>
      </c>
      <c r="C17" s="3" t="s">
        <v>211</v>
      </c>
      <c r="D17" s="3" t="s">
        <v>168</v>
      </c>
      <c r="E17" s="3" t="s">
        <v>174</v>
      </c>
      <c r="F17" s="3" t="s">
        <v>205</v>
      </c>
    </row>
    <row r="18" customFormat="false" ht="15" hidden="false" customHeight="false" outlineLevel="0" collapsed="false">
      <c r="A18" s="4" t="s">
        <v>11</v>
      </c>
      <c r="B18" s="20" t="s">
        <v>212</v>
      </c>
      <c r="C18" s="21" t="s">
        <v>213</v>
      </c>
      <c r="D18" s="22" t="s">
        <v>214</v>
      </c>
      <c r="E18" s="22" t="s">
        <v>215</v>
      </c>
      <c r="F18" s="22" t="s">
        <v>215</v>
      </c>
    </row>
    <row r="19" customFormat="false" ht="15" hidden="false" customHeight="false" outlineLevel="0" collapsed="false">
      <c r="A19" s="4" t="s">
        <v>17</v>
      </c>
      <c r="B19" s="20" t="s">
        <v>212</v>
      </c>
      <c r="C19" s="21" t="s">
        <v>213</v>
      </c>
      <c r="D19" s="22" t="s">
        <v>215</v>
      </c>
      <c r="E19" s="22" t="s">
        <v>215</v>
      </c>
      <c r="F19" s="22" t="s">
        <v>215</v>
      </c>
    </row>
    <row r="20" customFormat="false" ht="23.85" hidden="false" customHeight="false" outlineLevel="0" collapsed="false">
      <c r="A20" s="4" t="s">
        <v>216</v>
      </c>
      <c r="B20" s="20" t="s">
        <v>217</v>
      </c>
      <c r="C20" s="22" t="s">
        <v>218</v>
      </c>
      <c r="D20" s="22" t="s">
        <v>215</v>
      </c>
      <c r="E20" s="22" t="s">
        <v>214</v>
      </c>
      <c r="F20" s="22" t="s">
        <v>215</v>
      </c>
    </row>
    <row r="21" customFormat="false" ht="23.85" hidden="false" customHeight="false" outlineLevel="0" collapsed="false">
      <c r="A21" s="4" t="s">
        <v>219</v>
      </c>
      <c r="B21" s="20" t="s">
        <v>212</v>
      </c>
      <c r="C21" s="21" t="s">
        <v>213</v>
      </c>
      <c r="D21" s="22" t="s">
        <v>220</v>
      </c>
      <c r="E21" s="22" t="s">
        <v>214</v>
      </c>
      <c r="F21" s="22" t="s">
        <v>215</v>
      </c>
    </row>
    <row r="22" customFormat="false" ht="23.85" hidden="false" customHeight="false" outlineLevel="0" collapsed="false">
      <c r="A22" s="4" t="s">
        <v>221</v>
      </c>
      <c r="B22" s="22" t="s">
        <v>214</v>
      </c>
      <c r="C22" s="21" t="s">
        <v>213</v>
      </c>
      <c r="D22" s="22" t="s">
        <v>222</v>
      </c>
      <c r="E22" s="22" t="s">
        <v>214</v>
      </c>
      <c r="F22" s="22" t="s">
        <v>215</v>
      </c>
    </row>
    <row r="23" customFormat="false" ht="23.85" hidden="false" customHeight="false" outlineLevel="0" collapsed="false">
      <c r="A23" s="4" t="s">
        <v>33</v>
      </c>
      <c r="B23" s="20" t="s">
        <v>212</v>
      </c>
      <c r="C23" s="21" t="s">
        <v>213</v>
      </c>
      <c r="D23" s="22" t="s">
        <v>215</v>
      </c>
      <c r="E23" s="22" t="s">
        <v>214</v>
      </c>
      <c r="F23" s="22" t="s">
        <v>214</v>
      </c>
    </row>
    <row r="24" customFormat="false" ht="23.85" hidden="false" customHeight="false" outlineLevel="0" collapsed="false">
      <c r="A24" s="4" t="s">
        <v>223</v>
      </c>
      <c r="B24" s="20" t="s">
        <v>212</v>
      </c>
      <c r="C24" s="21" t="s">
        <v>213</v>
      </c>
      <c r="D24" s="22" t="s">
        <v>214</v>
      </c>
      <c r="E24" s="22" t="s">
        <v>214</v>
      </c>
      <c r="F24" s="22" t="s">
        <v>214</v>
      </c>
    </row>
    <row r="25" customFormat="false" ht="15" hidden="false" customHeight="false" outlineLevel="0" collapsed="false">
      <c r="A25" s="4" t="s">
        <v>224</v>
      </c>
      <c r="B25" s="20" t="s">
        <v>212</v>
      </c>
      <c r="C25" s="22" t="s">
        <v>215</v>
      </c>
      <c r="D25" s="22" t="s">
        <v>215</v>
      </c>
      <c r="E25" s="22" t="s">
        <v>215</v>
      </c>
      <c r="F25" s="21" t="s">
        <v>213</v>
      </c>
    </row>
    <row r="26" customFormat="false" ht="23.85" hidden="false" customHeight="false" outlineLevel="0" collapsed="false">
      <c r="A26" s="4" t="s">
        <v>225</v>
      </c>
      <c r="B26" s="20" t="s">
        <v>212</v>
      </c>
      <c r="C26" s="21" t="s">
        <v>213</v>
      </c>
      <c r="D26" s="22" t="s">
        <v>215</v>
      </c>
      <c r="E26" s="22" t="s">
        <v>215</v>
      </c>
      <c r="F26" s="22" t="s">
        <v>214</v>
      </c>
    </row>
    <row r="27" customFormat="false" ht="15" hidden="false" customHeight="false" outlineLevel="0" collapsed="false">
      <c r="A27" s="4" t="s">
        <v>226</v>
      </c>
      <c r="B27" s="20" t="s">
        <v>212</v>
      </c>
      <c r="C27" s="22" t="s">
        <v>214</v>
      </c>
      <c r="D27" s="22" t="s">
        <v>215</v>
      </c>
      <c r="E27" s="22" t="s">
        <v>227</v>
      </c>
      <c r="F27" s="22" t="s">
        <v>214</v>
      </c>
    </row>
    <row r="28" customFormat="false" ht="15" hidden="false" customHeight="false" outlineLevel="0" collapsed="false">
      <c r="A28" s="4" t="s">
        <v>228</v>
      </c>
      <c r="B28" s="21" t="s">
        <v>213</v>
      </c>
      <c r="C28" s="22" t="s">
        <v>214</v>
      </c>
      <c r="D28" s="22" t="s">
        <v>215</v>
      </c>
      <c r="E28" s="22" t="s">
        <v>214</v>
      </c>
      <c r="F28" s="22" t="s">
        <v>215</v>
      </c>
    </row>
    <row r="29" customFormat="false" ht="15" hidden="false" customHeight="false" outlineLevel="0" collapsed="false">
      <c r="A29" s="4" t="s">
        <v>229</v>
      </c>
      <c r="B29" s="20" t="s">
        <v>212</v>
      </c>
      <c r="C29" s="21" t="s">
        <v>213</v>
      </c>
      <c r="D29" s="22" t="s">
        <v>215</v>
      </c>
      <c r="E29" s="22" t="s">
        <v>214</v>
      </c>
      <c r="F29" s="22" t="s">
        <v>215</v>
      </c>
    </row>
    <row r="30" customFormat="false" ht="15" hidden="false" customHeight="false" outlineLevel="0" collapsed="false">
      <c r="A30" s="4" t="s">
        <v>230</v>
      </c>
      <c r="B30" s="20" t="s">
        <v>212</v>
      </c>
      <c r="C30" s="22" t="s">
        <v>214</v>
      </c>
      <c r="D30" s="22" t="s">
        <v>215</v>
      </c>
      <c r="E30" s="22" t="s">
        <v>214</v>
      </c>
      <c r="F30" s="21" t="s">
        <v>213</v>
      </c>
    </row>
    <row r="31" customFormat="false" ht="15" hidden="false" customHeight="false" outlineLevel="0" collapsed="false">
      <c r="A31" s="4" t="s">
        <v>231</v>
      </c>
      <c r="B31" s="20" t="s">
        <v>212</v>
      </c>
      <c r="C31" s="22" t="s">
        <v>214</v>
      </c>
      <c r="D31" s="22" t="s">
        <v>215</v>
      </c>
      <c r="E31" s="22" t="s">
        <v>214</v>
      </c>
      <c r="F31" s="21" t="s">
        <v>213</v>
      </c>
    </row>
    <row r="32" customFormat="false" ht="23.85" hidden="false" customHeight="false" outlineLevel="0" collapsed="false">
      <c r="A32" s="4" t="s">
        <v>232</v>
      </c>
      <c r="B32" s="20" t="s">
        <v>212</v>
      </c>
      <c r="C32" s="21" t="s">
        <v>213</v>
      </c>
      <c r="D32" s="22" t="s">
        <v>214</v>
      </c>
      <c r="E32" s="22" t="s">
        <v>214</v>
      </c>
      <c r="F32" s="22" t="s">
        <v>215</v>
      </c>
    </row>
    <row r="33" customFormat="false" ht="23.85" hidden="false" customHeight="false" outlineLevel="0" collapsed="false">
      <c r="A33" s="4" t="s">
        <v>233</v>
      </c>
      <c r="B33" s="20" t="s">
        <v>212</v>
      </c>
      <c r="C33" s="22" t="s">
        <v>214</v>
      </c>
      <c r="D33" s="22" t="s">
        <v>234</v>
      </c>
      <c r="E33" s="22" t="s">
        <v>214</v>
      </c>
      <c r="F33" s="22" t="s">
        <v>215</v>
      </c>
    </row>
    <row r="35" customFormat="false" ht="21.75" hidden="false" customHeight="true" outlineLevel="0" collapsed="false">
      <c r="A35" s="16" t="s">
        <v>235</v>
      </c>
      <c r="B35" s="16"/>
      <c r="C35" s="16"/>
      <c r="D35" s="16"/>
      <c r="E35" s="16"/>
      <c r="F35" s="16"/>
      <c r="G35" s="16"/>
    </row>
    <row r="36" customFormat="false" ht="24" hidden="false" customHeight="true" outlineLevel="0" collapsed="false">
      <c r="A36" s="3" t="s">
        <v>236</v>
      </c>
      <c r="B36" s="3" t="s">
        <v>167</v>
      </c>
      <c r="C36" s="3" t="s">
        <v>237</v>
      </c>
      <c r="D36" s="3" t="s">
        <v>7</v>
      </c>
      <c r="E36" s="3" t="s">
        <v>238</v>
      </c>
    </row>
    <row r="37" customFormat="false" ht="23.85" hidden="false" customHeight="false" outlineLevel="0" collapsed="false">
      <c r="A37" s="4" t="s">
        <v>168</v>
      </c>
      <c r="B37" s="4" t="s">
        <v>239</v>
      </c>
      <c r="C37" s="4" t="s">
        <v>240</v>
      </c>
      <c r="D37" s="4" t="s">
        <v>201</v>
      </c>
      <c r="E37" s="4" t="s">
        <v>241</v>
      </c>
    </row>
    <row r="38" customFormat="false" ht="23.85" hidden="false" customHeight="false" outlineLevel="0" collapsed="false">
      <c r="A38" s="4" t="s">
        <v>242</v>
      </c>
      <c r="B38" s="4" t="s">
        <v>200</v>
      </c>
      <c r="C38" s="4" t="s">
        <v>243</v>
      </c>
      <c r="D38" s="4" t="s">
        <v>201</v>
      </c>
      <c r="E38" s="4" t="s">
        <v>244</v>
      </c>
    </row>
    <row r="39" customFormat="false" ht="23.85" hidden="false" customHeight="false" outlineLevel="0" collapsed="false">
      <c r="A39" s="4" t="s">
        <v>245</v>
      </c>
      <c r="B39" s="4" t="s">
        <v>246</v>
      </c>
      <c r="C39" s="4" t="s">
        <v>247</v>
      </c>
      <c r="D39" s="4" t="s">
        <v>201</v>
      </c>
      <c r="E39" s="4" t="s">
        <v>248</v>
      </c>
    </row>
    <row r="40" customFormat="false" ht="15" hidden="false" customHeight="false" outlineLevel="0" collapsed="false">
      <c r="A40" s="4" t="s">
        <v>92</v>
      </c>
      <c r="B40" s="4" t="s">
        <v>249</v>
      </c>
      <c r="C40" s="4" t="s">
        <v>204</v>
      </c>
      <c r="D40" s="4" t="s">
        <v>201</v>
      </c>
      <c r="E40" s="4" t="s">
        <v>250</v>
      </c>
    </row>
    <row r="41" customFormat="false" ht="35.05" hidden="false" customHeight="false" outlineLevel="0" collapsed="false">
      <c r="A41" s="4" t="s">
        <v>251</v>
      </c>
      <c r="B41" s="4" t="s">
        <v>252</v>
      </c>
      <c r="C41" s="4" t="s">
        <v>253</v>
      </c>
      <c r="D41" s="4" t="s">
        <v>201</v>
      </c>
      <c r="E41" s="4" t="s">
        <v>254</v>
      </c>
    </row>
  </sheetData>
  <mergeCells count="4">
    <mergeCell ref="A1:G1"/>
    <mergeCell ref="A3:G3"/>
    <mergeCell ref="A16:G16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4" t="s">
        <v>255</v>
      </c>
      <c r="B1" s="14"/>
      <c r="C1" s="14"/>
      <c r="D1" s="14"/>
      <c r="E1" s="14"/>
    </row>
    <row r="2" customFormat="false" ht="15" hidden="false" customHeight="false" outlineLevel="0" collapsed="false">
      <c r="A2" s="15" t="s">
        <v>256</v>
      </c>
      <c r="B2" s="15"/>
      <c r="C2" s="15"/>
      <c r="D2" s="15"/>
      <c r="E2" s="15"/>
    </row>
    <row r="4" customFormat="false" ht="21.75" hidden="false" customHeight="true" outlineLevel="0" collapsed="false">
      <c r="A4" s="16" t="s">
        <v>257</v>
      </c>
      <c r="B4" s="16"/>
      <c r="C4" s="16"/>
      <c r="D4" s="16"/>
      <c r="E4" s="16"/>
    </row>
    <row r="5" customFormat="false" ht="35.05" hidden="false" customHeight="false" outlineLevel="0" collapsed="false">
      <c r="A5" s="4"/>
      <c r="B5" s="4" t="s">
        <v>258</v>
      </c>
      <c r="C5" s="4" t="s">
        <v>259</v>
      </c>
      <c r="D5" s="4" t="s">
        <v>158</v>
      </c>
      <c r="E5" s="4" t="s">
        <v>158</v>
      </c>
    </row>
    <row r="6" customFormat="false" ht="35.05" hidden="false" customHeight="false" outlineLevel="0" collapsed="false">
      <c r="A6" s="4"/>
      <c r="B6" s="4" t="s">
        <v>260</v>
      </c>
      <c r="C6" s="4" t="s">
        <v>261</v>
      </c>
      <c r="D6" s="4" t="s">
        <v>158</v>
      </c>
      <c r="E6" s="4" t="s">
        <v>158</v>
      </c>
    </row>
    <row r="7" customFormat="false" ht="23.85" hidden="false" customHeight="false" outlineLevel="0" collapsed="false">
      <c r="A7" s="4"/>
      <c r="B7" s="4" t="s">
        <v>262</v>
      </c>
      <c r="C7" s="4" t="s">
        <v>263</v>
      </c>
      <c r="D7" s="4" t="s">
        <v>158</v>
      </c>
      <c r="E7" s="4" t="s">
        <v>158</v>
      </c>
    </row>
    <row r="8" customFormat="false" ht="23.85" hidden="false" customHeight="false" outlineLevel="0" collapsed="false">
      <c r="A8" s="4"/>
      <c r="B8" s="4" t="s">
        <v>264</v>
      </c>
      <c r="C8" s="4" t="s">
        <v>265</v>
      </c>
      <c r="D8" s="4" t="s">
        <v>158</v>
      </c>
      <c r="E8" s="4" t="s">
        <v>158</v>
      </c>
    </row>
    <row r="9" customFormat="false" ht="23.85" hidden="false" customHeight="false" outlineLevel="0" collapsed="false">
      <c r="A9" s="4"/>
      <c r="B9" s="4" t="s">
        <v>266</v>
      </c>
      <c r="C9" s="4" t="s">
        <v>267</v>
      </c>
      <c r="D9" s="4" t="s">
        <v>158</v>
      </c>
      <c r="E9" s="4" t="s">
        <v>158</v>
      </c>
    </row>
    <row r="10" customFormat="false" ht="15" hidden="false" customHeight="false" outlineLevel="0" collapsed="false">
      <c r="A10" s="4"/>
      <c r="B10" s="4" t="s">
        <v>268</v>
      </c>
      <c r="C10" s="4" t="s">
        <v>269</v>
      </c>
      <c r="D10" s="4" t="s">
        <v>158</v>
      </c>
      <c r="E10" s="4" t="s">
        <v>158</v>
      </c>
    </row>
    <row r="11" customFormat="false" ht="23.85" hidden="false" customHeight="false" outlineLevel="0" collapsed="false">
      <c r="A11" s="4"/>
      <c r="B11" s="4" t="s">
        <v>270</v>
      </c>
      <c r="C11" s="4" t="s">
        <v>271</v>
      </c>
      <c r="D11" s="4" t="s">
        <v>158</v>
      </c>
      <c r="E11" s="4" t="s">
        <v>158</v>
      </c>
    </row>
    <row r="12" customFormat="false" ht="23.85" hidden="false" customHeight="false" outlineLevel="0" collapsed="false">
      <c r="A12" s="4"/>
      <c r="B12" s="4" t="s">
        <v>272</v>
      </c>
      <c r="C12" s="4" t="s">
        <v>273</v>
      </c>
      <c r="D12" s="4" t="s">
        <v>158</v>
      </c>
      <c r="E12" s="4" t="s">
        <v>158</v>
      </c>
    </row>
    <row r="13" customFormat="false" ht="23.85" hidden="false" customHeight="false" outlineLevel="0" collapsed="false">
      <c r="A13" s="4"/>
      <c r="B13" s="4" t="s">
        <v>274</v>
      </c>
      <c r="C13" s="4" t="s">
        <v>275</v>
      </c>
      <c r="D13" s="4" t="s">
        <v>158</v>
      </c>
      <c r="E13" s="4" t="s">
        <v>158</v>
      </c>
    </row>
    <row r="14" customFormat="false" ht="23.85" hidden="false" customHeight="false" outlineLevel="0" collapsed="false">
      <c r="A14" s="4"/>
      <c r="B14" s="4" t="s">
        <v>276</v>
      </c>
      <c r="C14" s="4" t="s">
        <v>277</v>
      </c>
      <c r="D14" s="4" t="s">
        <v>158</v>
      </c>
      <c r="E14" s="4" t="s">
        <v>158</v>
      </c>
    </row>
    <row r="16" customFormat="false" ht="21.75" hidden="false" customHeight="true" outlineLevel="0" collapsed="false">
      <c r="A16" s="16" t="s">
        <v>278</v>
      </c>
      <c r="B16" s="16"/>
      <c r="C16" s="16"/>
      <c r="D16" s="16"/>
      <c r="E16" s="16"/>
    </row>
    <row r="17" customFormat="false" ht="23.85" hidden="false" customHeight="false" outlineLevel="0" collapsed="false">
      <c r="A17" s="4"/>
      <c r="B17" s="4" t="s">
        <v>279</v>
      </c>
      <c r="C17" s="4" t="s">
        <v>280</v>
      </c>
      <c r="D17" s="4" t="s">
        <v>158</v>
      </c>
      <c r="E17" s="4" t="s">
        <v>158</v>
      </c>
    </row>
    <row r="18" customFormat="false" ht="23.85" hidden="false" customHeight="false" outlineLevel="0" collapsed="false">
      <c r="A18" s="4"/>
      <c r="B18" s="4" t="s">
        <v>281</v>
      </c>
      <c r="C18" s="4" t="s">
        <v>282</v>
      </c>
      <c r="D18" s="4" t="s">
        <v>158</v>
      </c>
      <c r="E18" s="4" t="s">
        <v>158</v>
      </c>
    </row>
    <row r="19" customFormat="false" ht="15" hidden="false" customHeight="false" outlineLevel="0" collapsed="false">
      <c r="A19" s="4"/>
      <c r="B19" s="4" t="s">
        <v>283</v>
      </c>
      <c r="C19" s="4" t="s">
        <v>284</v>
      </c>
      <c r="D19" s="4" t="s">
        <v>158</v>
      </c>
      <c r="E19" s="4" t="s">
        <v>158</v>
      </c>
    </row>
    <row r="20" customFormat="false" ht="15" hidden="false" customHeight="false" outlineLevel="0" collapsed="false">
      <c r="A20" s="4"/>
      <c r="B20" s="4" t="s">
        <v>285</v>
      </c>
      <c r="C20" s="4" t="s">
        <v>286</v>
      </c>
      <c r="D20" s="4" t="s">
        <v>158</v>
      </c>
      <c r="E20" s="4" t="s">
        <v>158</v>
      </c>
    </row>
    <row r="21" customFormat="false" ht="23.85" hidden="false" customHeight="false" outlineLevel="0" collapsed="false">
      <c r="A21" s="4"/>
      <c r="B21" s="4" t="s">
        <v>287</v>
      </c>
      <c r="C21" s="4" t="s">
        <v>288</v>
      </c>
      <c r="D21" s="4" t="s">
        <v>158</v>
      </c>
      <c r="E21" s="4" t="s">
        <v>158</v>
      </c>
    </row>
    <row r="23" customFormat="false" ht="21.75" hidden="false" customHeight="true" outlineLevel="0" collapsed="false">
      <c r="A23" s="16" t="s">
        <v>289</v>
      </c>
      <c r="B23" s="16"/>
      <c r="C23" s="16"/>
      <c r="D23" s="16"/>
      <c r="E23" s="16"/>
    </row>
    <row r="24" customFormat="false" ht="23.85" hidden="false" customHeight="false" outlineLevel="0" collapsed="false">
      <c r="A24" s="4"/>
      <c r="B24" s="4" t="s">
        <v>290</v>
      </c>
      <c r="C24" s="4" t="s">
        <v>291</v>
      </c>
      <c r="D24" s="4" t="s">
        <v>158</v>
      </c>
      <c r="E24" s="4" t="s">
        <v>158</v>
      </c>
    </row>
    <row r="25" customFormat="false" ht="23.85" hidden="false" customHeight="false" outlineLevel="0" collapsed="false">
      <c r="A25" s="4"/>
      <c r="B25" s="4" t="s">
        <v>292</v>
      </c>
      <c r="C25" s="4" t="s">
        <v>293</v>
      </c>
      <c r="D25" s="4" t="s">
        <v>158</v>
      </c>
      <c r="E25" s="4" t="s">
        <v>158</v>
      </c>
    </row>
    <row r="26" customFormat="false" ht="15" hidden="false" customHeight="false" outlineLevel="0" collapsed="false">
      <c r="A26" s="4"/>
      <c r="B26" s="4" t="s">
        <v>294</v>
      </c>
      <c r="C26" s="4" t="s">
        <v>295</v>
      </c>
      <c r="D26" s="4" t="s">
        <v>158</v>
      </c>
      <c r="E26" s="4" t="s">
        <v>158</v>
      </c>
    </row>
    <row r="28" customFormat="false" ht="21.75" hidden="false" customHeight="true" outlineLevel="0" collapsed="false">
      <c r="A28" s="16" t="s">
        <v>296</v>
      </c>
      <c r="B28" s="16"/>
      <c r="C28" s="16"/>
      <c r="D28" s="16"/>
      <c r="E28" s="16"/>
    </row>
    <row r="29" customFormat="false" ht="24" hidden="false" customHeight="true" outlineLevel="0" collapsed="false">
      <c r="A29" s="3" t="s">
        <v>2</v>
      </c>
      <c r="B29" s="3" t="s">
        <v>297</v>
      </c>
      <c r="C29" s="3" t="s">
        <v>210</v>
      </c>
      <c r="D29" s="3" t="s">
        <v>298</v>
      </c>
      <c r="E29" s="3" t="s">
        <v>299</v>
      </c>
    </row>
    <row r="30" customFormat="false" ht="68.65" hidden="false" customHeight="false" outlineLevel="0" collapsed="false">
      <c r="A30" s="4" t="n">
        <v>1</v>
      </c>
      <c r="B30" s="4" t="s">
        <v>300</v>
      </c>
      <c r="C30" s="4" t="s">
        <v>158</v>
      </c>
      <c r="D30" s="4" t="s">
        <v>174</v>
      </c>
      <c r="E30" s="4" t="s">
        <v>301</v>
      </c>
    </row>
    <row r="31" customFormat="false" ht="35.05" hidden="false" customHeight="false" outlineLevel="0" collapsed="false">
      <c r="A31" s="4" t="n">
        <v>2</v>
      </c>
      <c r="B31" s="4" t="s">
        <v>302</v>
      </c>
      <c r="C31" s="4" t="s">
        <v>158</v>
      </c>
      <c r="D31" s="4" t="s">
        <v>174</v>
      </c>
      <c r="E31" s="4" t="s">
        <v>303</v>
      </c>
    </row>
    <row r="32" customFormat="false" ht="35.05" hidden="false" customHeight="false" outlineLevel="0" collapsed="false">
      <c r="A32" s="4" t="n">
        <v>3</v>
      </c>
      <c r="B32" s="4" t="s">
        <v>304</v>
      </c>
      <c r="C32" s="4" t="s">
        <v>158</v>
      </c>
      <c r="D32" s="4" t="s">
        <v>174</v>
      </c>
      <c r="E32" s="4" t="s">
        <v>158</v>
      </c>
    </row>
    <row r="33" customFormat="false" ht="35.05" hidden="false" customHeight="false" outlineLevel="0" collapsed="false">
      <c r="A33" s="4" t="n">
        <v>4</v>
      </c>
      <c r="B33" s="4" t="s">
        <v>305</v>
      </c>
      <c r="C33" s="4" t="s">
        <v>158</v>
      </c>
      <c r="D33" s="4" t="s">
        <v>158</v>
      </c>
      <c r="E33" s="4" t="s">
        <v>158</v>
      </c>
    </row>
    <row r="34" customFormat="false" ht="91" hidden="false" customHeight="false" outlineLevel="0" collapsed="false">
      <c r="A34" s="4" t="n">
        <v>5</v>
      </c>
      <c r="B34" s="4" t="s">
        <v>306</v>
      </c>
      <c r="C34" s="4" t="s">
        <v>158</v>
      </c>
      <c r="D34" s="4" t="s">
        <v>174</v>
      </c>
      <c r="E34" s="4" t="s">
        <v>307</v>
      </c>
    </row>
    <row r="35" customFormat="false" ht="46.25" hidden="false" customHeight="false" outlineLevel="0" collapsed="false">
      <c r="A35" s="4" t="n">
        <v>6</v>
      </c>
      <c r="B35" s="4" t="s">
        <v>308</v>
      </c>
      <c r="C35" s="4" t="s">
        <v>158</v>
      </c>
      <c r="D35" s="4" t="s">
        <v>168</v>
      </c>
      <c r="E35" s="4" t="s">
        <v>309</v>
      </c>
    </row>
    <row r="36" customFormat="false" ht="46.25" hidden="false" customHeight="false" outlineLevel="0" collapsed="false">
      <c r="A36" s="4" t="n">
        <v>7</v>
      </c>
      <c r="B36" s="4" t="s">
        <v>310</v>
      </c>
      <c r="C36" s="4" t="s">
        <v>158</v>
      </c>
      <c r="D36" s="4" t="s">
        <v>174</v>
      </c>
      <c r="E36" s="4" t="s">
        <v>311</v>
      </c>
    </row>
    <row r="37" customFormat="false" ht="57.45" hidden="false" customHeight="false" outlineLevel="0" collapsed="false">
      <c r="A37" s="4" t="n">
        <v>8</v>
      </c>
      <c r="B37" s="4" t="s">
        <v>312</v>
      </c>
      <c r="C37" s="4" t="s">
        <v>158</v>
      </c>
      <c r="D37" s="4" t="s">
        <v>174</v>
      </c>
      <c r="E37" s="4" t="s">
        <v>185</v>
      </c>
    </row>
    <row r="38" customFormat="false" ht="46.25" hidden="false" customHeight="false" outlineLevel="0" collapsed="false">
      <c r="A38" s="4" t="n">
        <v>9</v>
      </c>
      <c r="B38" s="4" t="s">
        <v>313</v>
      </c>
      <c r="C38" s="4" t="s">
        <v>158</v>
      </c>
      <c r="D38" s="4" t="s">
        <v>314</v>
      </c>
      <c r="E38" s="4" t="s">
        <v>315</v>
      </c>
    </row>
    <row r="39" customFormat="false" ht="46.25" hidden="false" customHeight="false" outlineLevel="0" collapsed="false">
      <c r="A39" s="4" t="n">
        <v>10</v>
      </c>
      <c r="B39" s="4" t="s">
        <v>316</v>
      </c>
      <c r="C39" s="4" t="s">
        <v>158</v>
      </c>
      <c r="D39" s="4" t="s">
        <v>174</v>
      </c>
      <c r="E39" s="4" t="s">
        <v>317</v>
      </c>
    </row>
    <row r="41" customFormat="false" ht="21.75" hidden="false" customHeight="true" outlineLevel="0" collapsed="false">
      <c r="A41" s="16" t="s">
        <v>318</v>
      </c>
      <c r="B41" s="16"/>
      <c r="C41" s="16"/>
      <c r="D41" s="16"/>
      <c r="E41" s="16"/>
    </row>
    <row r="42" customFormat="false" ht="24" hidden="false" customHeight="true" outlineLevel="0" collapsed="false">
      <c r="A42" s="3" t="s">
        <v>2</v>
      </c>
      <c r="B42" s="3" t="s">
        <v>319</v>
      </c>
      <c r="C42" s="3" t="s">
        <v>320</v>
      </c>
      <c r="D42" s="3" t="s">
        <v>321</v>
      </c>
      <c r="E42" s="3" t="s">
        <v>322</v>
      </c>
    </row>
    <row r="43" customFormat="false" ht="68.65" hidden="false" customHeight="false" outlineLevel="0" collapsed="false">
      <c r="A43" s="4" t="n">
        <v>1</v>
      </c>
      <c r="B43" s="4" t="s">
        <v>323</v>
      </c>
      <c r="C43" s="4" t="s">
        <v>324</v>
      </c>
      <c r="D43" s="23" t="s">
        <v>158</v>
      </c>
      <c r="E43" s="4" t="s">
        <v>325</v>
      </c>
    </row>
    <row r="44" customFormat="false" ht="35.05" hidden="false" customHeight="false" outlineLevel="0" collapsed="false">
      <c r="A44" s="4" t="n">
        <v>2</v>
      </c>
      <c r="B44" s="4" t="s">
        <v>326</v>
      </c>
      <c r="C44" s="4" t="s">
        <v>327</v>
      </c>
      <c r="D44" s="23" t="s">
        <v>158</v>
      </c>
      <c r="E44" s="4" t="s">
        <v>328</v>
      </c>
    </row>
    <row r="45" customFormat="false" ht="57.45" hidden="false" customHeight="false" outlineLevel="0" collapsed="false">
      <c r="A45" s="4" t="n">
        <v>3</v>
      </c>
      <c r="B45" s="4" t="s">
        <v>329</v>
      </c>
      <c r="C45" s="4" t="s">
        <v>330</v>
      </c>
      <c r="D45" s="23" t="s">
        <v>158</v>
      </c>
      <c r="E45" s="4" t="s">
        <v>331</v>
      </c>
    </row>
    <row r="46" customFormat="false" ht="46.25" hidden="false" customHeight="false" outlineLevel="0" collapsed="false">
      <c r="A46" s="4" t="n">
        <v>4</v>
      </c>
      <c r="B46" s="4" t="s">
        <v>332</v>
      </c>
      <c r="C46" s="4" t="s">
        <v>327</v>
      </c>
      <c r="D46" s="4" t="s">
        <v>333</v>
      </c>
      <c r="E46" s="4" t="s">
        <v>334</v>
      </c>
    </row>
    <row r="47" customFormat="false" ht="68.65" hidden="false" customHeight="false" outlineLevel="0" collapsed="false">
      <c r="A47" s="4" t="n">
        <v>5</v>
      </c>
      <c r="B47" s="4" t="s">
        <v>335</v>
      </c>
      <c r="C47" s="4" t="s">
        <v>336</v>
      </c>
      <c r="D47" s="23" t="s">
        <v>158</v>
      </c>
      <c r="E47" s="4" t="s">
        <v>337</v>
      </c>
    </row>
    <row r="48" customFormat="false" ht="79.85" hidden="false" customHeight="false" outlineLevel="0" collapsed="false">
      <c r="A48" s="4" t="n">
        <v>6</v>
      </c>
      <c r="B48" s="4" t="s">
        <v>338</v>
      </c>
      <c r="C48" s="4" t="s">
        <v>336</v>
      </c>
      <c r="D48" s="23" t="s">
        <v>158</v>
      </c>
      <c r="E48" s="4" t="s">
        <v>339</v>
      </c>
    </row>
    <row r="49" customFormat="false" ht="79.85" hidden="false" customHeight="false" outlineLevel="0" collapsed="false">
      <c r="A49" s="4" t="n">
        <v>7</v>
      </c>
      <c r="B49" s="4" t="s">
        <v>340</v>
      </c>
      <c r="C49" s="4" t="s">
        <v>324</v>
      </c>
      <c r="D49" s="23" t="s">
        <v>158</v>
      </c>
      <c r="E49" s="4" t="s">
        <v>341</v>
      </c>
    </row>
    <row r="50" customFormat="false" ht="57.45" hidden="false" customHeight="false" outlineLevel="0" collapsed="false">
      <c r="A50" s="4" t="n">
        <v>8</v>
      </c>
      <c r="B50" s="4" t="s">
        <v>342</v>
      </c>
      <c r="C50" s="4" t="s">
        <v>343</v>
      </c>
      <c r="D50" s="23" t="s">
        <v>158</v>
      </c>
      <c r="E50" s="4" t="s">
        <v>344</v>
      </c>
    </row>
  </sheetData>
  <mergeCells count="7">
    <mergeCell ref="A1:E1"/>
    <mergeCell ref="A2:E2"/>
    <mergeCell ref="A4:E4"/>
    <mergeCell ref="A16:E16"/>
    <mergeCell ref="A23:E23"/>
    <mergeCell ref="A28:E28"/>
    <mergeCell ref="A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4" t="s">
        <v>345</v>
      </c>
      <c r="B1" s="14"/>
      <c r="C1" s="14"/>
      <c r="D1" s="14"/>
    </row>
    <row r="3" customFormat="false" ht="21.75" hidden="false" customHeight="true" outlineLevel="0" collapsed="false">
      <c r="A3" s="16" t="s">
        <v>346</v>
      </c>
      <c r="B3" s="16"/>
      <c r="C3" s="16"/>
      <c r="D3" s="16"/>
    </row>
    <row r="4" customFormat="false" ht="75" hidden="false" customHeight="true" outlineLevel="0" collapsed="false">
      <c r="A4" s="24"/>
      <c r="B4" s="13" t="s">
        <v>347</v>
      </c>
      <c r="C4" s="13"/>
      <c r="D4" s="13"/>
    </row>
    <row r="6" customFormat="false" ht="21.75" hidden="false" customHeight="true" outlineLevel="0" collapsed="false">
      <c r="A6" s="16" t="s">
        <v>348</v>
      </c>
      <c r="B6" s="16"/>
      <c r="C6" s="16"/>
      <c r="D6" s="16"/>
    </row>
    <row r="7" customFormat="false" ht="24" hidden="false" customHeight="true" outlineLevel="0" collapsed="false">
      <c r="A7" s="3" t="s">
        <v>2</v>
      </c>
      <c r="B7" s="3" t="s">
        <v>349</v>
      </c>
      <c r="C7" s="3" t="s">
        <v>321</v>
      </c>
      <c r="D7" s="3" t="s">
        <v>350</v>
      </c>
    </row>
    <row r="8" customFormat="false" ht="68.65" hidden="false" customHeight="false" outlineLevel="0" collapsed="false">
      <c r="A8" s="4" t="n">
        <v>1</v>
      </c>
      <c r="B8" s="4" t="s">
        <v>323</v>
      </c>
      <c r="C8" s="4" t="s">
        <v>351</v>
      </c>
      <c r="D8" s="4" t="s">
        <v>352</v>
      </c>
    </row>
    <row r="9" customFormat="false" ht="23.85" hidden="false" customHeight="false" outlineLevel="0" collapsed="false">
      <c r="A9" s="4" t="n">
        <v>2</v>
      </c>
      <c r="B9" s="4" t="s">
        <v>353</v>
      </c>
      <c r="C9" s="4" t="s">
        <v>354</v>
      </c>
      <c r="D9" s="4" t="s">
        <v>355</v>
      </c>
    </row>
    <row r="10" customFormat="false" ht="46.25" hidden="false" customHeight="false" outlineLevel="0" collapsed="false">
      <c r="A10" s="4" t="n">
        <v>3</v>
      </c>
      <c r="B10" s="4" t="s">
        <v>356</v>
      </c>
      <c r="C10" s="4" t="s">
        <v>357</v>
      </c>
      <c r="D10" s="4" t="s">
        <v>358</v>
      </c>
    </row>
    <row r="11" customFormat="false" ht="46.25" hidden="false" customHeight="false" outlineLevel="0" collapsed="false">
      <c r="A11" s="4" t="n">
        <v>4</v>
      </c>
      <c r="B11" s="4" t="s">
        <v>359</v>
      </c>
      <c r="C11" s="4" t="s">
        <v>360</v>
      </c>
      <c r="D11" s="4" t="s">
        <v>361</v>
      </c>
    </row>
    <row r="12" customFormat="false" ht="46.25" hidden="false" customHeight="false" outlineLevel="0" collapsed="false">
      <c r="A12" s="4" t="n">
        <v>5</v>
      </c>
      <c r="B12" s="4" t="s">
        <v>362</v>
      </c>
      <c r="C12" s="4" t="s">
        <v>363</v>
      </c>
      <c r="D12" s="4" t="s">
        <v>364</v>
      </c>
    </row>
    <row r="13" customFormat="false" ht="46.25" hidden="false" customHeight="false" outlineLevel="0" collapsed="false">
      <c r="A13" s="4" t="n">
        <v>6</v>
      </c>
      <c r="B13" s="4" t="s">
        <v>365</v>
      </c>
      <c r="C13" s="4" t="s">
        <v>366</v>
      </c>
      <c r="D13" s="4" t="s">
        <v>367</v>
      </c>
    </row>
    <row r="15" customFormat="false" ht="21.75" hidden="false" customHeight="true" outlineLevel="0" collapsed="false">
      <c r="A15" s="16" t="s">
        <v>368</v>
      </c>
      <c r="B15" s="16"/>
      <c r="C15" s="16"/>
      <c r="D15" s="16"/>
    </row>
    <row r="16" customFormat="false" ht="24" hidden="false" customHeight="true" outlineLevel="0" collapsed="false">
      <c r="A16" s="3" t="s">
        <v>2</v>
      </c>
      <c r="B16" s="3" t="s">
        <v>369</v>
      </c>
      <c r="C16" s="3" t="s">
        <v>370</v>
      </c>
      <c r="D16" s="3" t="s">
        <v>371</v>
      </c>
    </row>
    <row r="17" customFormat="false" ht="35.05" hidden="false" customHeight="false" outlineLevel="0" collapsed="false">
      <c r="A17" s="4" t="n">
        <v>1</v>
      </c>
      <c r="B17" s="4" t="s">
        <v>372</v>
      </c>
      <c r="C17" s="4" t="s">
        <v>373</v>
      </c>
      <c r="D17" s="19" t="s">
        <v>374</v>
      </c>
    </row>
    <row r="18" customFormat="false" ht="23.85" hidden="false" customHeight="false" outlineLevel="0" collapsed="false">
      <c r="A18" s="4" t="n">
        <v>2</v>
      </c>
      <c r="B18" s="4" t="s">
        <v>375</v>
      </c>
      <c r="C18" s="4" t="s">
        <v>376</v>
      </c>
      <c r="D18" s="19" t="s">
        <v>374</v>
      </c>
    </row>
    <row r="19" customFormat="false" ht="46.25" hidden="false" customHeight="false" outlineLevel="0" collapsed="false">
      <c r="A19" s="4" t="n">
        <v>3</v>
      </c>
      <c r="B19" s="4" t="s">
        <v>377</v>
      </c>
      <c r="C19" s="4" t="s">
        <v>378</v>
      </c>
      <c r="D19" s="19" t="s">
        <v>374</v>
      </c>
    </row>
    <row r="20" customFormat="false" ht="46.25" hidden="false" customHeight="false" outlineLevel="0" collapsed="false">
      <c r="A20" s="4" t="n">
        <v>4</v>
      </c>
      <c r="B20" s="4" t="s">
        <v>379</v>
      </c>
      <c r="C20" s="4" t="s">
        <v>380</v>
      </c>
      <c r="D20" s="19" t="s">
        <v>374</v>
      </c>
    </row>
    <row r="21" customFormat="false" ht="46.25" hidden="false" customHeight="false" outlineLevel="0" collapsed="false">
      <c r="A21" s="4" t="n">
        <v>5</v>
      </c>
      <c r="B21" s="4" t="s">
        <v>381</v>
      </c>
      <c r="C21" s="4" t="s">
        <v>382</v>
      </c>
      <c r="D21" s="19" t="s">
        <v>374</v>
      </c>
    </row>
    <row r="22" customFormat="false" ht="35.05" hidden="false" customHeight="false" outlineLevel="0" collapsed="false">
      <c r="A22" s="4" t="n">
        <v>6</v>
      </c>
      <c r="B22" s="4" t="s">
        <v>383</v>
      </c>
      <c r="C22" s="4" t="s">
        <v>384</v>
      </c>
      <c r="D22" s="19" t="s">
        <v>374</v>
      </c>
    </row>
    <row r="23" customFormat="false" ht="35.05" hidden="false" customHeight="false" outlineLevel="0" collapsed="false">
      <c r="A23" s="4" t="n">
        <v>7</v>
      </c>
      <c r="B23" s="4" t="s">
        <v>385</v>
      </c>
      <c r="C23" s="4" t="s">
        <v>386</v>
      </c>
      <c r="D23" s="19" t="s">
        <v>374</v>
      </c>
    </row>
    <row r="24" customFormat="false" ht="35.05" hidden="false" customHeight="false" outlineLevel="0" collapsed="false">
      <c r="A24" s="4" t="n">
        <v>8</v>
      </c>
      <c r="B24" s="4" t="s">
        <v>387</v>
      </c>
      <c r="C24" s="4" t="s">
        <v>388</v>
      </c>
      <c r="D24" s="19" t="s">
        <v>374</v>
      </c>
    </row>
    <row r="25" customFormat="false" ht="23.85" hidden="false" customHeight="false" outlineLevel="0" collapsed="false">
      <c r="A25" s="4" t="n">
        <v>9</v>
      </c>
      <c r="B25" s="4" t="s">
        <v>389</v>
      </c>
      <c r="C25" s="4" t="s">
        <v>390</v>
      </c>
      <c r="D25" s="23" t="s">
        <v>290</v>
      </c>
    </row>
    <row r="26" customFormat="false" ht="23.85" hidden="false" customHeight="false" outlineLevel="0" collapsed="false">
      <c r="A26" s="4" t="n">
        <v>10</v>
      </c>
      <c r="B26" s="4" t="s">
        <v>391</v>
      </c>
      <c r="C26" s="4" t="s">
        <v>392</v>
      </c>
      <c r="D26" s="23" t="s">
        <v>290</v>
      </c>
    </row>
    <row r="27" customFormat="false" ht="23.85" hidden="false" customHeight="false" outlineLevel="0" collapsed="false">
      <c r="A27" s="4" t="n">
        <v>11</v>
      </c>
      <c r="B27" s="4" t="s">
        <v>393</v>
      </c>
      <c r="C27" s="4" t="s">
        <v>394</v>
      </c>
      <c r="D27" s="23" t="s">
        <v>290</v>
      </c>
    </row>
    <row r="28" customFormat="false" ht="23.85" hidden="false" customHeight="false" outlineLevel="0" collapsed="false">
      <c r="A28" s="4" t="n">
        <v>12</v>
      </c>
      <c r="B28" s="4" t="s">
        <v>395</v>
      </c>
      <c r="C28" s="4" t="s">
        <v>396</v>
      </c>
      <c r="D28" s="23" t="s">
        <v>290</v>
      </c>
    </row>
    <row r="29" customFormat="false" ht="57.45" hidden="false" customHeight="false" outlineLevel="0" collapsed="false">
      <c r="A29" s="4" t="n">
        <v>13</v>
      </c>
      <c r="B29" s="4" t="s">
        <v>397</v>
      </c>
      <c r="C29" s="4" t="s">
        <v>398</v>
      </c>
      <c r="D29" s="18" t="s">
        <v>292</v>
      </c>
    </row>
    <row r="30" customFormat="false" ht="15" hidden="false" customHeight="false" outlineLevel="0" collapsed="false">
      <c r="A30" s="4" t="n">
        <v>14</v>
      </c>
      <c r="B30" s="4" t="s">
        <v>399</v>
      </c>
      <c r="C30" s="4" t="s">
        <v>400</v>
      </c>
      <c r="D30" s="18" t="s">
        <v>292</v>
      </c>
    </row>
    <row r="32" customFormat="false" ht="21.75" hidden="false" customHeight="true" outlineLevel="0" collapsed="false">
      <c r="A32" s="16" t="s">
        <v>401</v>
      </c>
      <c r="B32" s="16"/>
      <c r="C32" s="16"/>
      <c r="D32" s="16"/>
    </row>
    <row r="33" customFormat="false" ht="24" hidden="false" customHeight="true" outlineLevel="0" collapsed="false">
      <c r="A33" s="3" t="s">
        <v>2</v>
      </c>
      <c r="B33" s="3" t="s">
        <v>369</v>
      </c>
      <c r="C33" s="3" t="s">
        <v>370</v>
      </c>
      <c r="D33" s="3" t="s">
        <v>371</v>
      </c>
    </row>
    <row r="34" customFormat="false" ht="35.05" hidden="false" customHeight="false" outlineLevel="0" collapsed="false">
      <c r="A34" s="4" t="n">
        <v>1</v>
      </c>
      <c r="B34" s="4" t="s">
        <v>402</v>
      </c>
      <c r="C34" s="4" t="s">
        <v>403</v>
      </c>
      <c r="D34" s="4" t="s">
        <v>404</v>
      </c>
    </row>
    <row r="35" customFormat="false" ht="35.05" hidden="false" customHeight="false" outlineLevel="0" collapsed="false">
      <c r="A35" s="4" t="n">
        <v>2</v>
      </c>
      <c r="B35" s="4" t="s">
        <v>405</v>
      </c>
      <c r="C35" s="4" t="s">
        <v>406</v>
      </c>
      <c r="D35" s="4" t="s">
        <v>407</v>
      </c>
    </row>
    <row r="36" customFormat="false" ht="35.05" hidden="false" customHeight="false" outlineLevel="0" collapsed="false">
      <c r="A36" s="4" t="n">
        <v>3</v>
      </c>
      <c r="B36" s="4" t="s">
        <v>408</v>
      </c>
      <c r="C36" s="4" t="s">
        <v>409</v>
      </c>
      <c r="D36" s="4" t="s">
        <v>407</v>
      </c>
    </row>
    <row r="37" customFormat="false" ht="35.05" hidden="false" customHeight="false" outlineLevel="0" collapsed="false">
      <c r="A37" s="4" t="n">
        <v>4</v>
      </c>
      <c r="B37" s="4" t="s">
        <v>410</v>
      </c>
      <c r="C37" s="4" t="s">
        <v>411</v>
      </c>
      <c r="D37" s="4" t="s">
        <v>407</v>
      </c>
    </row>
    <row r="38" customFormat="false" ht="46.25" hidden="false" customHeight="false" outlineLevel="0" collapsed="false">
      <c r="A38" s="4" t="n">
        <v>5</v>
      </c>
      <c r="B38" s="4" t="s">
        <v>412</v>
      </c>
      <c r="C38" s="4" t="s">
        <v>413</v>
      </c>
      <c r="D38" s="4" t="s">
        <v>404</v>
      </c>
    </row>
    <row r="39" customFormat="false" ht="35.05" hidden="false" customHeight="false" outlineLevel="0" collapsed="false">
      <c r="A39" s="4" t="n">
        <v>6</v>
      </c>
      <c r="B39" s="4" t="s">
        <v>414</v>
      </c>
      <c r="C39" s="4" t="s">
        <v>415</v>
      </c>
      <c r="D39" s="4" t="s">
        <v>407</v>
      </c>
    </row>
    <row r="40" customFormat="false" ht="23.85" hidden="false" customHeight="false" outlineLevel="0" collapsed="false">
      <c r="A40" s="4" t="n">
        <v>7</v>
      </c>
      <c r="B40" s="4" t="s">
        <v>416</v>
      </c>
      <c r="C40" s="4" t="s">
        <v>417</v>
      </c>
      <c r="D40" s="4" t="s">
        <v>404</v>
      </c>
    </row>
    <row r="42" customFormat="false" ht="21.75" hidden="false" customHeight="true" outlineLevel="0" collapsed="false">
      <c r="A42" s="16" t="s">
        <v>418</v>
      </c>
      <c r="B42" s="16"/>
      <c r="C42" s="16"/>
      <c r="D42" s="16"/>
    </row>
    <row r="43" customFormat="false" ht="24" hidden="false" customHeight="true" outlineLevel="0" collapsed="false">
      <c r="A43" s="3" t="s">
        <v>2</v>
      </c>
      <c r="B43" s="3" t="s">
        <v>419</v>
      </c>
      <c r="C43" s="3" t="s">
        <v>420</v>
      </c>
      <c r="D43" s="3" t="s">
        <v>421</v>
      </c>
    </row>
    <row r="44" customFormat="false" ht="57.45" hidden="false" customHeight="false" outlineLevel="0" collapsed="false">
      <c r="A44" s="4" t="n">
        <v>1</v>
      </c>
      <c r="B44" s="4" t="s">
        <v>422</v>
      </c>
      <c r="C44" s="4" t="s">
        <v>423</v>
      </c>
      <c r="D44" s="23" t="s">
        <v>158</v>
      </c>
    </row>
    <row r="45" customFormat="false" ht="46.25" hidden="false" customHeight="false" outlineLevel="0" collapsed="false">
      <c r="A45" s="4" t="n">
        <v>2</v>
      </c>
      <c r="B45" s="4" t="s">
        <v>424</v>
      </c>
      <c r="C45" s="4" t="s">
        <v>425</v>
      </c>
      <c r="D45" s="23" t="s">
        <v>158</v>
      </c>
    </row>
    <row r="46" customFormat="false" ht="46.25" hidden="false" customHeight="false" outlineLevel="0" collapsed="false">
      <c r="A46" s="4" t="n">
        <v>3</v>
      </c>
      <c r="B46" s="4" t="s">
        <v>426</v>
      </c>
      <c r="C46" s="4" t="s">
        <v>427</v>
      </c>
      <c r="D46" s="23" t="s">
        <v>158</v>
      </c>
    </row>
    <row r="47" customFormat="false" ht="57.45" hidden="false" customHeight="false" outlineLevel="0" collapsed="false">
      <c r="A47" s="4" t="n">
        <v>4</v>
      </c>
      <c r="B47" s="4" t="s">
        <v>428</v>
      </c>
      <c r="C47" s="4" t="s">
        <v>429</v>
      </c>
      <c r="D47" s="23" t="s">
        <v>158</v>
      </c>
    </row>
    <row r="48" customFormat="false" ht="102.2" hidden="false" customHeight="false" outlineLevel="0" collapsed="false">
      <c r="A48" s="4" t="n">
        <v>5</v>
      </c>
      <c r="B48" s="4" t="s">
        <v>430</v>
      </c>
      <c r="C48" s="4" t="s">
        <v>431</v>
      </c>
      <c r="D48" s="23" t="s">
        <v>158</v>
      </c>
    </row>
    <row r="49" customFormat="false" ht="113.4" hidden="false" customHeight="false" outlineLevel="0" collapsed="false">
      <c r="A49" s="4" t="n">
        <v>6</v>
      </c>
      <c r="B49" s="4" t="s">
        <v>432</v>
      </c>
      <c r="C49" s="4" t="s">
        <v>168</v>
      </c>
      <c r="D49" s="23" t="s">
        <v>158</v>
      </c>
    </row>
    <row r="50" customFormat="false" ht="35.05" hidden="false" customHeight="false" outlineLevel="0" collapsed="false">
      <c r="A50" s="4" t="n">
        <v>7</v>
      </c>
      <c r="B50" s="4" t="s">
        <v>433</v>
      </c>
      <c r="C50" s="4" t="s">
        <v>434</v>
      </c>
      <c r="D50" s="23" t="s">
        <v>158</v>
      </c>
    </row>
    <row r="51" customFormat="false" ht="57.45" hidden="false" customHeight="false" outlineLevel="0" collapsed="false">
      <c r="A51" s="4" t="n">
        <v>8</v>
      </c>
      <c r="B51" s="4" t="s">
        <v>435</v>
      </c>
      <c r="C51" s="4" t="s">
        <v>436</v>
      </c>
      <c r="D51" s="23" t="s">
        <v>158</v>
      </c>
    </row>
  </sheetData>
  <mergeCells count="7">
    <mergeCell ref="A1:D1"/>
    <mergeCell ref="A3:D3"/>
    <mergeCell ref="B4:D4"/>
    <mergeCell ref="A6:D6"/>
    <mergeCell ref="A15:D15"/>
    <mergeCell ref="A32:D32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4" t="s">
        <v>437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5" t="s">
        <v>438</v>
      </c>
      <c r="B2" s="15"/>
      <c r="C2" s="15"/>
      <c r="D2" s="15"/>
      <c r="E2" s="15"/>
      <c r="F2" s="15"/>
    </row>
    <row r="4" customFormat="false" ht="30" hidden="false" customHeight="true" outlineLevel="0" collapsed="false">
      <c r="A4" s="3" t="s">
        <v>165</v>
      </c>
      <c r="B4" s="3" t="s">
        <v>297</v>
      </c>
      <c r="C4" s="3" t="s">
        <v>439</v>
      </c>
      <c r="D4" s="3" t="s">
        <v>440</v>
      </c>
      <c r="E4" s="3" t="s">
        <v>441</v>
      </c>
      <c r="F4" s="3" t="s">
        <v>442</v>
      </c>
    </row>
    <row r="5" customFormat="false" ht="15" hidden="false" customHeight="false" outlineLevel="0" collapsed="false">
      <c r="A5" s="25" t="s">
        <v>443</v>
      </c>
      <c r="B5" s="4" t="n">
        <v>1</v>
      </c>
      <c r="C5" s="4" t="s">
        <v>444</v>
      </c>
      <c r="D5" s="4" t="s">
        <v>445</v>
      </c>
      <c r="E5" s="4" t="s">
        <v>446</v>
      </c>
      <c r="F5" s="4" t="s">
        <v>447</v>
      </c>
    </row>
    <row r="6" customFormat="false" ht="15" hidden="false" customHeight="false" outlineLevel="0" collapsed="false">
      <c r="A6" s="25" t="s">
        <v>443</v>
      </c>
      <c r="B6" s="4" t="n">
        <v>2</v>
      </c>
      <c r="C6" s="4" t="s">
        <v>448</v>
      </c>
      <c r="D6" s="4" t="s">
        <v>449</v>
      </c>
      <c r="E6" s="4" t="s">
        <v>450</v>
      </c>
      <c r="F6" s="4" t="s">
        <v>451</v>
      </c>
    </row>
    <row r="7" customFormat="false" ht="15" hidden="false" customHeight="false" outlineLevel="0" collapsed="false">
      <c r="A7" s="25" t="s">
        <v>443</v>
      </c>
      <c r="B7" s="4" t="n">
        <v>3</v>
      </c>
      <c r="C7" s="4" t="s">
        <v>452</v>
      </c>
      <c r="D7" s="4" t="s">
        <v>453</v>
      </c>
      <c r="E7" s="4" t="s">
        <v>454</v>
      </c>
      <c r="F7" s="4" t="s">
        <v>455</v>
      </c>
    </row>
    <row r="8" customFormat="false" ht="15" hidden="false" customHeight="false" outlineLevel="0" collapsed="false">
      <c r="A8" s="25" t="s">
        <v>443</v>
      </c>
      <c r="B8" s="4" t="n">
        <v>4</v>
      </c>
      <c r="C8" s="4" t="s">
        <v>456</v>
      </c>
      <c r="D8" s="4" t="s">
        <v>457</v>
      </c>
      <c r="E8" s="4" t="s">
        <v>458</v>
      </c>
      <c r="F8" s="4" t="s">
        <v>459</v>
      </c>
    </row>
    <row r="9" customFormat="false" ht="15" hidden="false" customHeight="false" outlineLevel="0" collapsed="false">
      <c r="A9" s="25" t="s">
        <v>443</v>
      </c>
      <c r="B9" s="4" t="n">
        <v>5</v>
      </c>
      <c r="C9" s="4" t="s">
        <v>460</v>
      </c>
      <c r="D9" s="4" t="s">
        <v>461</v>
      </c>
      <c r="E9" s="4" t="s">
        <v>462</v>
      </c>
      <c r="F9" s="4" t="s">
        <v>463</v>
      </c>
    </row>
    <row r="10" customFormat="false" ht="15" hidden="false" customHeight="false" outlineLevel="0" collapsed="false">
      <c r="A10" s="25" t="s">
        <v>443</v>
      </c>
      <c r="B10" s="4" t="n">
        <v>6</v>
      </c>
      <c r="C10" s="4" t="s">
        <v>464</v>
      </c>
      <c r="D10" s="4" t="s">
        <v>465</v>
      </c>
      <c r="E10" s="4" t="s">
        <v>466</v>
      </c>
      <c r="F10" s="4" t="s">
        <v>447</v>
      </c>
    </row>
    <row r="11" customFormat="false" ht="15" hidden="false" customHeight="false" outlineLevel="0" collapsed="false">
      <c r="A11" s="25" t="s">
        <v>443</v>
      </c>
      <c r="B11" s="4" t="n">
        <v>7</v>
      </c>
      <c r="C11" s="4" t="s">
        <v>467</v>
      </c>
      <c r="D11" s="4" t="s">
        <v>468</v>
      </c>
      <c r="E11" s="4" t="s">
        <v>469</v>
      </c>
      <c r="F11" s="4" t="s">
        <v>470</v>
      </c>
    </row>
    <row r="12" customFormat="false" ht="15" hidden="false" customHeight="false" outlineLevel="0" collapsed="false">
      <c r="A12" s="26" t="s">
        <v>471</v>
      </c>
      <c r="B12" s="4" t="n">
        <v>1</v>
      </c>
      <c r="C12" s="4" t="s">
        <v>472</v>
      </c>
      <c r="D12" s="4" t="s">
        <v>473</v>
      </c>
      <c r="E12" s="4" t="s">
        <v>474</v>
      </c>
      <c r="F12" s="4" t="s">
        <v>475</v>
      </c>
    </row>
    <row r="13" customFormat="false" ht="15" hidden="false" customHeight="false" outlineLevel="0" collapsed="false">
      <c r="A13" s="26" t="s">
        <v>471</v>
      </c>
      <c r="B13" s="4" t="n">
        <v>2</v>
      </c>
      <c r="C13" s="4" t="s">
        <v>476</v>
      </c>
      <c r="D13" s="4" t="s">
        <v>477</v>
      </c>
      <c r="E13" s="4" t="s">
        <v>478</v>
      </c>
      <c r="F13" s="4" t="s">
        <v>479</v>
      </c>
    </row>
    <row r="14" customFormat="false" ht="15" hidden="false" customHeight="false" outlineLevel="0" collapsed="false">
      <c r="A14" s="26" t="s">
        <v>471</v>
      </c>
      <c r="B14" s="4" t="n">
        <v>3</v>
      </c>
      <c r="C14" s="4" t="s">
        <v>480</v>
      </c>
      <c r="D14" s="4" t="s">
        <v>481</v>
      </c>
      <c r="E14" s="4" t="s">
        <v>482</v>
      </c>
      <c r="F14" s="4" t="s">
        <v>483</v>
      </c>
    </row>
    <row r="15" customFormat="false" ht="15" hidden="false" customHeight="false" outlineLevel="0" collapsed="false">
      <c r="A15" s="26" t="s">
        <v>471</v>
      </c>
      <c r="B15" s="4" t="n">
        <v>4</v>
      </c>
      <c r="C15" s="4" t="s">
        <v>484</v>
      </c>
      <c r="D15" s="4" t="s">
        <v>481</v>
      </c>
      <c r="E15" s="4" t="s">
        <v>482</v>
      </c>
      <c r="F15" s="4" t="s">
        <v>485</v>
      </c>
    </row>
    <row r="16" customFormat="false" ht="15" hidden="false" customHeight="false" outlineLevel="0" collapsed="false">
      <c r="A16" s="26" t="s">
        <v>471</v>
      </c>
      <c r="B16" s="4" t="n">
        <v>5</v>
      </c>
      <c r="C16" s="4" t="s">
        <v>486</v>
      </c>
      <c r="D16" s="4" t="s">
        <v>487</v>
      </c>
      <c r="E16" s="4" t="s">
        <v>488</v>
      </c>
      <c r="F16" s="4" t="s">
        <v>489</v>
      </c>
    </row>
    <row r="17" customFormat="false" ht="15" hidden="false" customHeight="false" outlineLevel="0" collapsed="false">
      <c r="A17" s="27" t="s">
        <v>490</v>
      </c>
      <c r="B17" s="4" t="n">
        <v>1</v>
      </c>
      <c r="C17" s="4" t="s">
        <v>491</v>
      </c>
      <c r="D17" s="4" t="s">
        <v>492</v>
      </c>
      <c r="E17" s="4" t="s">
        <v>493</v>
      </c>
      <c r="F17" s="4" t="s">
        <v>494</v>
      </c>
    </row>
    <row r="18" customFormat="false" ht="15" hidden="false" customHeight="false" outlineLevel="0" collapsed="false">
      <c r="A18" s="27" t="s">
        <v>490</v>
      </c>
      <c r="B18" s="4" t="n">
        <v>2</v>
      </c>
      <c r="C18" s="4" t="s">
        <v>495</v>
      </c>
      <c r="D18" s="4" t="s">
        <v>496</v>
      </c>
      <c r="E18" s="4" t="s">
        <v>429</v>
      </c>
      <c r="F18" s="4" t="s">
        <v>497</v>
      </c>
    </row>
    <row r="19" customFormat="false" ht="15" hidden="false" customHeight="false" outlineLevel="0" collapsed="false">
      <c r="A19" s="27" t="s">
        <v>490</v>
      </c>
      <c r="B19" s="4" t="n">
        <v>3</v>
      </c>
      <c r="C19" s="4" t="s">
        <v>498</v>
      </c>
      <c r="D19" s="4" t="s">
        <v>496</v>
      </c>
      <c r="E19" s="4" t="s">
        <v>429</v>
      </c>
      <c r="F19" s="4" t="s">
        <v>499</v>
      </c>
    </row>
    <row r="20" customFormat="false" ht="23.85" hidden="false" customHeight="false" outlineLevel="0" collapsed="false">
      <c r="A20" s="27" t="s">
        <v>490</v>
      </c>
      <c r="B20" s="4" t="n">
        <v>4</v>
      </c>
      <c r="C20" s="4" t="s">
        <v>500</v>
      </c>
      <c r="D20" s="4" t="s">
        <v>501</v>
      </c>
      <c r="E20" s="4" t="s">
        <v>502</v>
      </c>
      <c r="F20" s="4" t="s">
        <v>503</v>
      </c>
    </row>
    <row r="21" customFormat="false" ht="15" hidden="false" customHeight="false" outlineLevel="0" collapsed="false">
      <c r="A21" s="27" t="s">
        <v>490</v>
      </c>
      <c r="B21" s="4" t="n">
        <v>5</v>
      </c>
      <c r="C21" s="4" t="s">
        <v>504</v>
      </c>
      <c r="D21" s="4" t="s">
        <v>505</v>
      </c>
      <c r="E21" s="4" t="s">
        <v>488</v>
      </c>
      <c r="F21" s="4" t="s">
        <v>506</v>
      </c>
    </row>
    <row r="22" customFormat="false" ht="15" hidden="false" customHeight="false" outlineLevel="0" collapsed="false">
      <c r="A22" s="27" t="s">
        <v>490</v>
      </c>
      <c r="B22" s="4" t="n">
        <v>6</v>
      </c>
      <c r="C22" s="4" t="s">
        <v>507</v>
      </c>
      <c r="D22" s="4" t="s">
        <v>508</v>
      </c>
      <c r="E22" s="4" t="s">
        <v>509</v>
      </c>
      <c r="F22" s="4" t="s">
        <v>475</v>
      </c>
    </row>
    <row r="23" customFormat="false" ht="15" hidden="false" customHeight="false" outlineLevel="0" collapsed="false">
      <c r="A23" s="27" t="s">
        <v>490</v>
      </c>
      <c r="B23" s="4" t="n">
        <v>7</v>
      </c>
      <c r="C23" s="4" t="s">
        <v>510</v>
      </c>
      <c r="D23" s="4" t="s">
        <v>511</v>
      </c>
      <c r="E23" s="4" t="s">
        <v>512</v>
      </c>
      <c r="F23" s="4" t="s">
        <v>513</v>
      </c>
    </row>
    <row r="24" customFormat="false" ht="23.85" hidden="false" customHeight="false" outlineLevel="0" collapsed="false">
      <c r="A24" s="28" t="s">
        <v>514</v>
      </c>
      <c r="B24" s="4" t="n">
        <v>1</v>
      </c>
      <c r="C24" s="4" t="s">
        <v>515</v>
      </c>
      <c r="D24" s="4" t="s">
        <v>389</v>
      </c>
      <c r="E24" s="4" t="s">
        <v>450</v>
      </c>
      <c r="F24" s="4" t="s">
        <v>455</v>
      </c>
    </row>
    <row r="25" customFormat="false" ht="23.85" hidden="false" customHeight="false" outlineLevel="0" collapsed="false">
      <c r="A25" s="28" t="s">
        <v>514</v>
      </c>
      <c r="B25" s="4" t="n">
        <v>2</v>
      </c>
      <c r="C25" s="4" t="s">
        <v>516</v>
      </c>
      <c r="D25" s="4" t="s">
        <v>389</v>
      </c>
      <c r="E25" s="4" t="s">
        <v>517</v>
      </c>
      <c r="F25" s="4" t="s">
        <v>518</v>
      </c>
    </row>
    <row r="26" customFormat="false" ht="23.85" hidden="false" customHeight="false" outlineLevel="0" collapsed="false">
      <c r="A26" s="28" t="s">
        <v>514</v>
      </c>
      <c r="B26" s="4" t="n">
        <v>3</v>
      </c>
      <c r="C26" s="4" t="s">
        <v>519</v>
      </c>
      <c r="D26" s="4" t="s">
        <v>520</v>
      </c>
      <c r="E26" s="4" t="s">
        <v>429</v>
      </c>
      <c r="F26" s="4" t="s">
        <v>521</v>
      </c>
    </row>
    <row r="27" customFormat="false" ht="23.85" hidden="false" customHeight="false" outlineLevel="0" collapsed="false">
      <c r="A27" s="28" t="s">
        <v>514</v>
      </c>
      <c r="B27" s="4" t="n">
        <v>4</v>
      </c>
      <c r="C27" s="4" t="s">
        <v>522</v>
      </c>
      <c r="D27" s="4" t="s">
        <v>511</v>
      </c>
      <c r="E27" s="4" t="s">
        <v>523</v>
      </c>
      <c r="F27" s="4" t="s">
        <v>524</v>
      </c>
    </row>
    <row r="28" customFormat="false" ht="23.85" hidden="false" customHeight="false" outlineLevel="0" collapsed="false">
      <c r="A28" s="28" t="s">
        <v>514</v>
      </c>
      <c r="B28" s="4" t="n">
        <v>5</v>
      </c>
      <c r="C28" s="4" t="s">
        <v>525</v>
      </c>
      <c r="D28" s="4" t="s">
        <v>465</v>
      </c>
      <c r="E28" s="4" t="s">
        <v>466</v>
      </c>
      <c r="F28" s="4" t="s">
        <v>526</v>
      </c>
    </row>
    <row r="29" customFormat="false" ht="15" hidden="false" customHeight="false" outlineLevel="0" collapsed="false">
      <c r="A29" s="29" t="s">
        <v>527</v>
      </c>
      <c r="B29" s="4" t="n">
        <v>1</v>
      </c>
      <c r="C29" s="4" t="s">
        <v>528</v>
      </c>
      <c r="D29" s="4" t="s">
        <v>445</v>
      </c>
      <c r="E29" s="4" t="s">
        <v>529</v>
      </c>
      <c r="F29" s="4" t="s">
        <v>530</v>
      </c>
    </row>
    <row r="30" customFormat="false" ht="15" hidden="false" customHeight="false" outlineLevel="0" collapsed="false">
      <c r="A30" s="29" t="s">
        <v>527</v>
      </c>
      <c r="B30" s="4" t="n">
        <v>2</v>
      </c>
      <c r="C30" s="4" t="s">
        <v>531</v>
      </c>
      <c r="D30" s="4" t="s">
        <v>449</v>
      </c>
      <c r="E30" s="4" t="s">
        <v>466</v>
      </c>
      <c r="F30" s="4" t="s">
        <v>455</v>
      </c>
    </row>
    <row r="31" customFormat="false" ht="15" hidden="false" customHeight="false" outlineLevel="0" collapsed="false">
      <c r="A31" s="29" t="s">
        <v>527</v>
      </c>
      <c r="B31" s="4" t="n">
        <v>3</v>
      </c>
      <c r="C31" s="4" t="s">
        <v>532</v>
      </c>
      <c r="D31" s="4" t="s">
        <v>468</v>
      </c>
      <c r="E31" s="4" t="s">
        <v>429</v>
      </c>
      <c r="F31" s="4" t="s">
        <v>530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4" t="s">
        <v>533</v>
      </c>
      <c r="B1" s="14"/>
      <c r="C1" s="14"/>
      <c r="D1" s="14"/>
      <c r="E1" s="14"/>
    </row>
    <row r="3" customFormat="false" ht="21.75" hidden="false" customHeight="true" outlineLevel="0" collapsed="false">
      <c r="A3" s="16" t="s">
        <v>534</v>
      </c>
      <c r="B3" s="16"/>
      <c r="C3" s="16"/>
      <c r="D3" s="16"/>
      <c r="E3" s="16"/>
    </row>
    <row r="4" customFormat="false" ht="24" hidden="false" customHeight="true" outlineLevel="0" collapsed="false">
      <c r="A4" s="3" t="s">
        <v>2</v>
      </c>
      <c r="B4" s="3" t="s">
        <v>535</v>
      </c>
      <c r="C4" s="3" t="s">
        <v>536</v>
      </c>
      <c r="D4" s="3" t="s">
        <v>193</v>
      </c>
      <c r="E4" s="3" t="s">
        <v>537</v>
      </c>
    </row>
    <row r="5" customFormat="false" ht="15" hidden="false" customHeight="false" outlineLevel="0" collapsed="false">
      <c r="A5" s="4" t="n">
        <v>1</v>
      </c>
      <c r="B5" s="4" t="s">
        <v>538</v>
      </c>
      <c r="C5" s="4" t="s">
        <v>539</v>
      </c>
      <c r="D5" s="4" t="s">
        <v>540</v>
      </c>
      <c r="E5" s="30" t="s">
        <v>68</v>
      </c>
    </row>
    <row r="6" customFormat="false" ht="15" hidden="false" customHeight="false" outlineLevel="0" collapsed="false">
      <c r="A6" s="4" t="n">
        <v>2</v>
      </c>
      <c r="B6" s="4" t="s">
        <v>541</v>
      </c>
      <c r="C6" s="4" t="s">
        <v>542</v>
      </c>
      <c r="D6" s="4" t="s">
        <v>543</v>
      </c>
      <c r="E6" s="30" t="s">
        <v>68</v>
      </c>
    </row>
    <row r="7" customFormat="false" ht="15" hidden="false" customHeight="false" outlineLevel="0" collapsed="false">
      <c r="A7" s="4" t="n">
        <v>3</v>
      </c>
      <c r="B7" s="4" t="s">
        <v>544</v>
      </c>
      <c r="C7" s="4" t="s">
        <v>545</v>
      </c>
      <c r="D7" s="4" t="s">
        <v>546</v>
      </c>
      <c r="E7" s="30" t="s">
        <v>68</v>
      </c>
    </row>
    <row r="8" customFormat="false" ht="15" hidden="false" customHeight="false" outlineLevel="0" collapsed="false">
      <c r="A8" s="4" t="n">
        <v>4</v>
      </c>
      <c r="B8" s="4" t="s">
        <v>547</v>
      </c>
      <c r="C8" s="4" t="s">
        <v>548</v>
      </c>
      <c r="D8" s="4" t="s">
        <v>549</v>
      </c>
      <c r="E8" s="30" t="s">
        <v>68</v>
      </c>
    </row>
    <row r="9" customFormat="false" ht="15" hidden="false" customHeight="false" outlineLevel="0" collapsed="false">
      <c r="A9" s="4" t="n">
        <v>5</v>
      </c>
      <c r="B9" s="4" t="s">
        <v>550</v>
      </c>
      <c r="C9" s="4" t="s">
        <v>551</v>
      </c>
      <c r="D9" s="4" t="s">
        <v>552</v>
      </c>
      <c r="E9" s="30" t="s">
        <v>68</v>
      </c>
    </row>
    <row r="10" customFormat="false" ht="15" hidden="false" customHeight="false" outlineLevel="0" collapsed="false">
      <c r="A10" s="4" t="n">
        <v>6</v>
      </c>
      <c r="B10" s="4" t="s">
        <v>553</v>
      </c>
      <c r="C10" s="4" t="s">
        <v>554</v>
      </c>
      <c r="D10" s="4" t="s">
        <v>546</v>
      </c>
      <c r="E10" s="30" t="s">
        <v>68</v>
      </c>
    </row>
    <row r="11" customFormat="false" ht="15" hidden="false" customHeight="false" outlineLevel="0" collapsed="false">
      <c r="A11" s="4" t="n">
        <v>7</v>
      </c>
      <c r="B11" s="4" t="s">
        <v>555</v>
      </c>
      <c r="C11" s="4" t="s">
        <v>556</v>
      </c>
      <c r="D11" s="4" t="s">
        <v>546</v>
      </c>
      <c r="E11" s="30" t="s">
        <v>68</v>
      </c>
    </row>
    <row r="12" customFormat="false" ht="15" hidden="false" customHeight="false" outlineLevel="0" collapsed="false">
      <c r="A12" s="4" t="n">
        <v>8</v>
      </c>
      <c r="B12" s="4" t="s">
        <v>557</v>
      </c>
      <c r="C12" s="4" t="s">
        <v>558</v>
      </c>
      <c r="D12" s="4" t="s">
        <v>559</v>
      </c>
      <c r="E12" s="30" t="s">
        <v>68</v>
      </c>
    </row>
    <row r="13" customFormat="false" ht="15" hidden="false" customHeight="false" outlineLevel="0" collapsed="false">
      <c r="A13" s="4" t="n">
        <v>9</v>
      </c>
      <c r="B13" s="4" t="s">
        <v>560</v>
      </c>
      <c r="C13" s="4" t="s">
        <v>561</v>
      </c>
      <c r="D13" s="4" t="s">
        <v>158</v>
      </c>
      <c r="E13" s="30" t="s">
        <v>68</v>
      </c>
    </row>
    <row r="14" customFormat="false" ht="23.85" hidden="false" customHeight="false" outlineLevel="0" collapsed="false">
      <c r="A14" s="4" t="n">
        <v>10</v>
      </c>
      <c r="B14" s="4" t="s">
        <v>562</v>
      </c>
      <c r="C14" s="4" t="s">
        <v>563</v>
      </c>
      <c r="D14" s="4" t="s">
        <v>158</v>
      </c>
      <c r="E14" s="30" t="s">
        <v>68</v>
      </c>
    </row>
    <row r="15" customFormat="false" ht="23.85" hidden="false" customHeight="false" outlineLevel="0" collapsed="false">
      <c r="A15" s="4" t="n">
        <v>11</v>
      </c>
      <c r="B15" s="4" t="s">
        <v>564</v>
      </c>
      <c r="C15" s="4" t="s">
        <v>565</v>
      </c>
      <c r="D15" s="4" t="s">
        <v>566</v>
      </c>
      <c r="E15" s="30" t="s">
        <v>68</v>
      </c>
    </row>
    <row r="17" customFormat="false" ht="21.75" hidden="false" customHeight="true" outlineLevel="0" collapsed="false">
      <c r="A17" s="16" t="s">
        <v>567</v>
      </c>
      <c r="B17" s="16"/>
      <c r="C17" s="16"/>
      <c r="D17" s="16"/>
      <c r="E17" s="16"/>
    </row>
    <row r="18" customFormat="false" ht="24" hidden="false" customHeight="true" outlineLevel="0" collapsed="false">
      <c r="A18" s="3" t="s">
        <v>2</v>
      </c>
      <c r="B18" s="3" t="s">
        <v>568</v>
      </c>
      <c r="C18" s="3" t="s">
        <v>569</v>
      </c>
      <c r="D18" s="3" t="s">
        <v>6</v>
      </c>
      <c r="E18" s="3" t="s">
        <v>570</v>
      </c>
    </row>
    <row r="19" customFormat="false" ht="35.05" hidden="false" customHeight="false" outlineLevel="0" collapsed="false">
      <c r="A19" s="4" t="n">
        <v>1</v>
      </c>
      <c r="B19" s="4" t="s">
        <v>571</v>
      </c>
      <c r="C19" s="4" t="s">
        <v>572</v>
      </c>
      <c r="D19" s="30" t="s">
        <v>68</v>
      </c>
      <c r="E19" s="4" t="s">
        <v>573</v>
      </c>
    </row>
    <row r="20" customFormat="false" ht="15" hidden="false" customHeight="false" outlineLevel="0" collapsed="false">
      <c r="A20" s="4" t="n">
        <v>2</v>
      </c>
      <c r="B20" s="4" t="s">
        <v>574</v>
      </c>
      <c r="C20" s="4" t="s">
        <v>575</v>
      </c>
      <c r="D20" s="30" t="s">
        <v>68</v>
      </c>
      <c r="E20" s="4" t="s">
        <v>576</v>
      </c>
    </row>
    <row r="21" customFormat="false" ht="23.85" hidden="false" customHeight="false" outlineLevel="0" collapsed="false">
      <c r="A21" s="4" t="n">
        <v>3</v>
      </c>
      <c r="B21" s="4" t="s">
        <v>577</v>
      </c>
      <c r="C21" s="4" t="s">
        <v>578</v>
      </c>
      <c r="D21" s="6" t="s">
        <v>39</v>
      </c>
      <c r="E21" s="4" t="s">
        <v>579</v>
      </c>
    </row>
    <row r="22" customFormat="false" ht="15" hidden="false" customHeight="false" outlineLevel="0" collapsed="false">
      <c r="A22" s="4" t="n">
        <v>4</v>
      </c>
      <c r="B22" s="4" t="s">
        <v>496</v>
      </c>
      <c r="C22" s="4" t="s">
        <v>580</v>
      </c>
      <c r="D22" s="30" t="s">
        <v>68</v>
      </c>
      <c r="E22" s="4" t="s">
        <v>581</v>
      </c>
    </row>
    <row r="23" customFormat="false" ht="15" hidden="false" customHeight="false" outlineLevel="0" collapsed="false">
      <c r="A23" s="4" t="n">
        <v>5</v>
      </c>
      <c r="B23" s="4" t="s">
        <v>449</v>
      </c>
      <c r="C23" s="4" t="s">
        <v>582</v>
      </c>
      <c r="D23" s="30" t="s">
        <v>68</v>
      </c>
      <c r="E23" s="4" t="s">
        <v>576</v>
      </c>
    </row>
    <row r="24" customFormat="false" ht="15" hidden="false" customHeight="false" outlineLevel="0" collapsed="false">
      <c r="A24" s="4" t="n">
        <v>6</v>
      </c>
      <c r="B24" s="4" t="s">
        <v>457</v>
      </c>
      <c r="C24" s="4" t="s">
        <v>583</v>
      </c>
      <c r="D24" s="30" t="s">
        <v>68</v>
      </c>
      <c r="E24" s="4" t="s">
        <v>576</v>
      </c>
    </row>
    <row r="25" customFormat="false" ht="15" hidden="false" customHeight="false" outlineLevel="0" collapsed="false">
      <c r="A25" s="4" t="n">
        <v>7</v>
      </c>
      <c r="B25" s="4" t="s">
        <v>584</v>
      </c>
      <c r="C25" s="4" t="s">
        <v>585</v>
      </c>
      <c r="D25" s="30" t="s">
        <v>68</v>
      </c>
      <c r="E25" s="4" t="s">
        <v>576</v>
      </c>
    </row>
    <row r="26" customFormat="false" ht="15" hidden="false" customHeight="false" outlineLevel="0" collapsed="false">
      <c r="A26" s="4" t="n">
        <v>8</v>
      </c>
      <c r="B26" s="4" t="s">
        <v>465</v>
      </c>
      <c r="C26" s="4" t="s">
        <v>394</v>
      </c>
      <c r="D26" s="30" t="s">
        <v>68</v>
      </c>
      <c r="E26" s="4" t="s">
        <v>586</v>
      </c>
    </row>
    <row r="27" customFormat="false" ht="15" hidden="false" customHeight="false" outlineLevel="0" collapsed="false">
      <c r="A27" s="4" t="n">
        <v>9</v>
      </c>
      <c r="B27" s="4" t="s">
        <v>587</v>
      </c>
      <c r="C27" s="4" t="s">
        <v>588</v>
      </c>
      <c r="D27" s="6" t="s">
        <v>39</v>
      </c>
      <c r="E27" s="4" t="s">
        <v>589</v>
      </c>
    </row>
    <row r="28" customFormat="false" ht="15" hidden="false" customHeight="false" outlineLevel="0" collapsed="false">
      <c r="A28" s="4" t="n">
        <v>10</v>
      </c>
      <c r="B28" s="4" t="s">
        <v>590</v>
      </c>
      <c r="C28" s="4" t="s">
        <v>591</v>
      </c>
      <c r="D28" s="30" t="s">
        <v>68</v>
      </c>
      <c r="E28" s="4" t="s">
        <v>576</v>
      </c>
    </row>
    <row r="29" customFormat="false" ht="15" hidden="false" customHeight="false" outlineLevel="0" collapsed="false">
      <c r="A29" s="4" t="n">
        <v>11</v>
      </c>
      <c r="B29" s="4" t="s">
        <v>592</v>
      </c>
      <c r="C29" s="4" t="s">
        <v>593</v>
      </c>
      <c r="D29" s="30" t="s">
        <v>68</v>
      </c>
      <c r="E29" s="4" t="s">
        <v>576</v>
      </c>
    </row>
    <row r="30" customFormat="false" ht="15" hidden="false" customHeight="false" outlineLevel="0" collapsed="false">
      <c r="A30" s="4" t="n">
        <v>12</v>
      </c>
      <c r="B30" s="4" t="s">
        <v>594</v>
      </c>
      <c r="C30" s="4" t="s">
        <v>595</v>
      </c>
      <c r="D30" s="30" t="s">
        <v>68</v>
      </c>
      <c r="E30" s="4" t="s">
        <v>576</v>
      </c>
    </row>
    <row r="31" customFormat="false" ht="23.85" hidden="false" customHeight="false" outlineLevel="0" collapsed="false">
      <c r="A31" s="4" t="n">
        <v>13</v>
      </c>
      <c r="B31" s="4" t="s">
        <v>596</v>
      </c>
      <c r="C31" s="4" t="s">
        <v>597</v>
      </c>
      <c r="D31" s="6" t="s">
        <v>39</v>
      </c>
      <c r="E31" s="4" t="s">
        <v>598</v>
      </c>
    </row>
    <row r="32" customFormat="false" ht="15" hidden="false" customHeight="false" outlineLevel="0" collapsed="false">
      <c r="A32" s="4" t="n">
        <v>14</v>
      </c>
      <c r="B32" s="4" t="s">
        <v>599</v>
      </c>
      <c r="C32" s="4" t="s">
        <v>398</v>
      </c>
      <c r="D32" s="6" t="s">
        <v>39</v>
      </c>
      <c r="E32" s="4" t="s">
        <v>600</v>
      </c>
    </row>
    <row r="33" customFormat="false" ht="15" hidden="false" customHeight="false" outlineLevel="0" collapsed="false">
      <c r="A33" s="4" t="n">
        <v>15</v>
      </c>
      <c r="B33" s="4" t="s">
        <v>601</v>
      </c>
      <c r="C33" s="4" t="s">
        <v>602</v>
      </c>
      <c r="D33" s="5" t="s">
        <v>13</v>
      </c>
      <c r="E33" s="4" t="s">
        <v>603</v>
      </c>
    </row>
    <row r="34" customFormat="false" ht="15" hidden="false" customHeight="false" outlineLevel="0" collapsed="false">
      <c r="A34" s="4" t="n">
        <v>16</v>
      </c>
      <c r="B34" s="4" t="s">
        <v>604</v>
      </c>
      <c r="C34" s="4" t="s">
        <v>605</v>
      </c>
      <c r="D34" s="5" t="s">
        <v>13</v>
      </c>
      <c r="E34" s="4" t="s">
        <v>292</v>
      </c>
    </row>
    <row r="36" customFormat="false" ht="21.75" hidden="false" customHeight="true" outlineLevel="0" collapsed="false">
      <c r="A36" s="16" t="s">
        <v>606</v>
      </c>
      <c r="B36" s="16"/>
      <c r="C36" s="16"/>
      <c r="D36" s="16"/>
      <c r="E36" s="16"/>
    </row>
    <row r="37" customFormat="false" ht="24" hidden="false" customHeight="true" outlineLevel="0" collapsed="false">
      <c r="A37" s="3" t="s">
        <v>607</v>
      </c>
      <c r="B37" s="3" t="s">
        <v>569</v>
      </c>
      <c r="C37" s="3" t="s">
        <v>608</v>
      </c>
      <c r="D37" s="3" t="s">
        <v>609</v>
      </c>
      <c r="E37" s="3" t="s">
        <v>6</v>
      </c>
    </row>
    <row r="38" customFormat="false" ht="23.85" hidden="false" customHeight="false" outlineLevel="0" collapsed="false">
      <c r="A38" s="4" t="s">
        <v>610</v>
      </c>
      <c r="B38" s="4" t="s">
        <v>611</v>
      </c>
      <c r="C38" s="4" t="s">
        <v>612</v>
      </c>
      <c r="D38" s="4" t="s">
        <v>613</v>
      </c>
      <c r="E38" s="5" t="s">
        <v>13</v>
      </c>
    </row>
    <row r="39" customFormat="false" ht="23.85" hidden="false" customHeight="false" outlineLevel="0" collapsed="false">
      <c r="A39" s="4" t="s">
        <v>614</v>
      </c>
      <c r="B39" s="4" t="s">
        <v>615</v>
      </c>
      <c r="C39" s="4" t="s">
        <v>496</v>
      </c>
      <c r="D39" s="4" t="s">
        <v>616</v>
      </c>
      <c r="E39" s="5" t="s">
        <v>13</v>
      </c>
    </row>
    <row r="40" customFormat="false" ht="23.85" hidden="false" customHeight="false" outlineLevel="0" collapsed="false">
      <c r="A40" s="4" t="s">
        <v>617</v>
      </c>
      <c r="B40" s="4" t="s">
        <v>385</v>
      </c>
      <c r="C40" s="4" t="s">
        <v>618</v>
      </c>
      <c r="D40" s="4" t="s">
        <v>619</v>
      </c>
      <c r="E40" s="5" t="s">
        <v>13</v>
      </c>
    </row>
    <row r="41" customFormat="false" ht="23.85" hidden="false" customHeight="false" outlineLevel="0" collapsed="false">
      <c r="A41" s="4" t="s">
        <v>620</v>
      </c>
      <c r="B41" s="4" t="s">
        <v>387</v>
      </c>
      <c r="C41" s="4" t="s">
        <v>621</v>
      </c>
      <c r="D41" s="4" t="s">
        <v>622</v>
      </c>
      <c r="E41" s="5" t="s">
        <v>13</v>
      </c>
    </row>
    <row r="42" customFormat="false" ht="23.85" hidden="false" customHeight="false" outlineLevel="0" collapsed="false">
      <c r="A42" s="4" t="s">
        <v>623</v>
      </c>
      <c r="B42" s="4" t="s">
        <v>624</v>
      </c>
      <c r="C42" s="4" t="s">
        <v>625</v>
      </c>
      <c r="D42" s="4" t="s">
        <v>626</v>
      </c>
      <c r="E42" s="5" t="s">
        <v>13</v>
      </c>
    </row>
    <row r="43" customFormat="false" ht="23.85" hidden="false" customHeight="false" outlineLevel="0" collapsed="false">
      <c r="A43" s="4" t="s">
        <v>627</v>
      </c>
      <c r="B43" s="4" t="s">
        <v>628</v>
      </c>
      <c r="C43" s="4" t="s">
        <v>590</v>
      </c>
      <c r="D43" s="4" t="s">
        <v>629</v>
      </c>
      <c r="E43" s="5" t="s">
        <v>13</v>
      </c>
    </row>
    <row r="44" customFormat="false" ht="15" hidden="false" customHeight="false" outlineLevel="0" collapsed="false">
      <c r="A44" s="4" t="s">
        <v>630</v>
      </c>
      <c r="B44" s="4" t="s">
        <v>631</v>
      </c>
      <c r="C44" s="4" t="s">
        <v>496</v>
      </c>
      <c r="D44" s="4" t="s">
        <v>632</v>
      </c>
      <c r="E44" s="5" t="s">
        <v>13</v>
      </c>
    </row>
    <row r="45" customFormat="false" ht="23.85" hidden="false" customHeight="false" outlineLevel="0" collapsed="false">
      <c r="A45" s="4" t="s">
        <v>633</v>
      </c>
      <c r="B45" s="4" t="s">
        <v>634</v>
      </c>
      <c r="C45" s="4" t="s">
        <v>465</v>
      </c>
      <c r="D45" s="4" t="s">
        <v>635</v>
      </c>
      <c r="E45" s="5" t="s">
        <v>13</v>
      </c>
    </row>
    <row r="46" customFormat="false" ht="23.85" hidden="false" customHeight="false" outlineLevel="0" collapsed="false">
      <c r="A46" s="4" t="s">
        <v>636</v>
      </c>
      <c r="B46" s="4" t="s">
        <v>637</v>
      </c>
      <c r="C46" s="4" t="s">
        <v>638</v>
      </c>
      <c r="D46" s="4" t="s">
        <v>639</v>
      </c>
      <c r="E46" s="5" t="s">
        <v>13</v>
      </c>
    </row>
    <row r="47" customFormat="false" ht="23.85" hidden="false" customHeight="false" outlineLevel="0" collapsed="false">
      <c r="A47" s="4" t="s">
        <v>640</v>
      </c>
      <c r="B47" s="4" t="s">
        <v>641</v>
      </c>
      <c r="C47" s="4" t="s">
        <v>445</v>
      </c>
      <c r="D47" s="4" t="s">
        <v>642</v>
      </c>
      <c r="E47" s="5" t="s">
        <v>13</v>
      </c>
    </row>
    <row r="48" customFormat="false" ht="23.85" hidden="false" customHeight="false" outlineLevel="0" collapsed="false">
      <c r="A48" s="4" t="s">
        <v>643</v>
      </c>
      <c r="B48" s="4" t="s">
        <v>644</v>
      </c>
      <c r="C48" s="4" t="s">
        <v>645</v>
      </c>
      <c r="D48" s="4" t="s">
        <v>646</v>
      </c>
      <c r="E48" s="5" t="s">
        <v>13</v>
      </c>
    </row>
    <row r="49" customFormat="false" ht="23.85" hidden="false" customHeight="false" outlineLevel="0" collapsed="false">
      <c r="A49" s="4" t="s">
        <v>647</v>
      </c>
      <c r="B49" s="4" t="s">
        <v>399</v>
      </c>
      <c r="C49" s="4" t="s">
        <v>648</v>
      </c>
      <c r="D49" s="4" t="s">
        <v>649</v>
      </c>
      <c r="E49" s="5" t="s">
        <v>13</v>
      </c>
    </row>
  </sheetData>
  <mergeCells count="4">
    <mergeCell ref="A1:E1"/>
    <mergeCell ref="A3:E3"/>
    <mergeCell ref="A17:E17"/>
    <mergeCell ref="A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4" t="s">
        <v>650</v>
      </c>
      <c r="B1" s="14"/>
      <c r="C1" s="14"/>
      <c r="D1" s="14"/>
      <c r="E1" s="14"/>
      <c r="F1" s="14"/>
    </row>
    <row r="3" customFormat="false" ht="30" hidden="false" customHeight="true" outlineLevel="0" collapsed="false">
      <c r="A3" s="3" t="s">
        <v>651</v>
      </c>
      <c r="B3" s="3" t="s">
        <v>652</v>
      </c>
      <c r="C3" s="3" t="s">
        <v>653</v>
      </c>
      <c r="D3" s="3" t="s">
        <v>654</v>
      </c>
      <c r="E3" s="3" t="s">
        <v>7</v>
      </c>
      <c r="F3" s="3" t="s">
        <v>6</v>
      </c>
    </row>
    <row r="4" customFormat="false" ht="15" hidden="false" customHeight="false" outlineLevel="0" collapsed="false">
      <c r="A4" s="4" t="s">
        <v>655</v>
      </c>
      <c r="B4" s="4" t="s">
        <v>656</v>
      </c>
      <c r="C4" s="4" t="s">
        <v>657</v>
      </c>
      <c r="D4" s="5" t="s">
        <v>374</v>
      </c>
      <c r="E4" s="4" t="s">
        <v>658</v>
      </c>
      <c r="F4" s="30" t="s">
        <v>68</v>
      </c>
    </row>
    <row r="5" customFormat="false" ht="15" hidden="false" customHeight="false" outlineLevel="0" collapsed="false">
      <c r="A5" s="4" t="s">
        <v>659</v>
      </c>
      <c r="B5" s="4" t="s">
        <v>660</v>
      </c>
      <c r="C5" s="4" t="s">
        <v>657</v>
      </c>
      <c r="D5" s="5" t="s">
        <v>374</v>
      </c>
      <c r="E5" s="4" t="s">
        <v>658</v>
      </c>
      <c r="F5" s="30" t="s">
        <v>68</v>
      </c>
    </row>
    <row r="6" customFormat="false" ht="15" hidden="false" customHeight="false" outlineLevel="0" collapsed="false">
      <c r="A6" s="4" t="s">
        <v>661</v>
      </c>
      <c r="B6" s="4" t="s">
        <v>662</v>
      </c>
      <c r="C6" s="4" t="s">
        <v>657</v>
      </c>
      <c r="D6" s="5" t="s">
        <v>374</v>
      </c>
      <c r="E6" s="4" t="s">
        <v>658</v>
      </c>
      <c r="F6" s="30" t="s">
        <v>68</v>
      </c>
    </row>
    <row r="7" customFormat="false" ht="15" hidden="false" customHeight="false" outlineLevel="0" collapsed="false">
      <c r="A7" s="4" t="s">
        <v>663</v>
      </c>
      <c r="B7" s="4" t="s">
        <v>664</v>
      </c>
      <c r="C7" s="4" t="s">
        <v>657</v>
      </c>
      <c r="D7" s="5" t="s">
        <v>374</v>
      </c>
      <c r="E7" s="4" t="s">
        <v>658</v>
      </c>
      <c r="F7" s="30" t="s">
        <v>68</v>
      </c>
    </row>
    <row r="8" customFormat="false" ht="15" hidden="false" customHeight="false" outlineLevel="0" collapsed="false">
      <c r="A8" s="4" t="s">
        <v>665</v>
      </c>
      <c r="B8" s="4" t="s">
        <v>666</v>
      </c>
      <c r="C8" s="4" t="s">
        <v>657</v>
      </c>
      <c r="D8" s="5" t="s">
        <v>374</v>
      </c>
      <c r="E8" s="4" t="s">
        <v>658</v>
      </c>
      <c r="F8" s="30" t="s">
        <v>68</v>
      </c>
    </row>
    <row r="9" customFormat="false" ht="15" hidden="false" customHeight="false" outlineLevel="0" collapsed="false">
      <c r="A9" s="4" t="s">
        <v>667</v>
      </c>
      <c r="B9" s="4" t="s">
        <v>668</v>
      </c>
      <c r="C9" s="4" t="s">
        <v>657</v>
      </c>
      <c r="D9" s="5" t="s">
        <v>374</v>
      </c>
      <c r="E9" s="4" t="s">
        <v>658</v>
      </c>
      <c r="F9" s="30" t="s">
        <v>68</v>
      </c>
    </row>
    <row r="10" customFormat="false" ht="15" hidden="false" customHeight="false" outlineLevel="0" collapsed="false">
      <c r="A10" s="4" t="s">
        <v>669</v>
      </c>
      <c r="B10" s="4" t="s">
        <v>670</v>
      </c>
      <c r="C10" s="4" t="s">
        <v>657</v>
      </c>
      <c r="D10" s="5" t="s">
        <v>374</v>
      </c>
      <c r="E10" s="4" t="s">
        <v>658</v>
      </c>
      <c r="F10" s="30" t="s">
        <v>68</v>
      </c>
    </row>
    <row r="11" customFormat="false" ht="15" hidden="false" customHeight="false" outlineLevel="0" collapsed="false">
      <c r="A11" s="4" t="s">
        <v>671</v>
      </c>
      <c r="B11" s="4" t="s">
        <v>672</v>
      </c>
      <c r="C11" s="4" t="s">
        <v>657</v>
      </c>
      <c r="D11" s="5" t="s">
        <v>374</v>
      </c>
      <c r="E11" s="4" t="s">
        <v>658</v>
      </c>
      <c r="F11" s="30" t="s">
        <v>68</v>
      </c>
    </row>
    <row r="12" customFormat="false" ht="15" hidden="false" customHeight="false" outlineLevel="0" collapsed="false">
      <c r="A12" s="4" t="s">
        <v>673</v>
      </c>
      <c r="B12" s="4" t="s">
        <v>674</v>
      </c>
      <c r="C12" s="4" t="s">
        <v>657</v>
      </c>
      <c r="D12" s="5" t="s">
        <v>374</v>
      </c>
      <c r="E12" s="4" t="s">
        <v>658</v>
      </c>
      <c r="F12" s="30" t="s">
        <v>68</v>
      </c>
    </row>
    <row r="13" customFormat="false" ht="15" hidden="false" customHeight="false" outlineLevel="0" collapsed="false">
      <c r="A13" s="4" t="s">
        <v>675</v>
      </c>
      <c r="B13" s="4" t="s">
        <v>676</v>
      </c>
      <c r="C13" s="4" t="s">
        <v>657</v>
      </c>
      <c r="D13" s="5" t="s">
        <v>374</v>
      </c>
      <c r="E13" s="4" t="s">
        <v>658</v>
      </c>
      <c r="F13" s="30" t="s">
        <v>68</v>
      </c>
    </row>
    <row r="14" customFormat="false" ht="15" hidden="false" customHeight="false" outlineLevel="0" collapsed="false">
      <c r="A14" s="4" t="s">
        <v>677</v>
      </c>
      <c r="B14" s="4" t="s">
        <v>592</v>
      </c>
      <c r="C14" s="4" t="s">
        <v>657</v>
      </c>
      <c r="D14" s="5" t="s">
        <v>374</v>
      </c>
      <c r="E14" s="4" t="s">
        <v>658</v>
      </c>
      <c r="F14" s="30" t="s">
        <v>68</v>
      </c>
    </row>
    <row r="15" customFormat="false" ht="15" hidden="false" customHeight="false" outlineLevel="0" collapsed="false">
      <c r="A15" s="4" t="s">
        <v>678</v>
      </c>
      <c r="B15" s="4" t="s">
        <v>679</v>
      </c>
      <c r="C15" s="4" t="s">
        <v>657</v>
      </c>
      <c r="D15" s="5" t="s">
        <v>374</v>
      </c>
      <c r="E15" s="4" t="s">
        <v>658</v>
      </c>
      <c r="F15" s="30" t="s">
        <v>68</v>
      </c>
    </row>
    <row r="16" customFormat="false" ht="15" hidden="false" customHeight="false" outlineLevel="0" collapsed="false">
      <c r="A16" s="4" t="s">
        <v>680</v>
      </c>
      <c r="B16" s="4" t="s">
        <v>681</v>
      </c>
      <c r="C16" s="4" t="s">
        <v>657</v>
      </c>
      <c r="D16" s="5" t="s">
        <v>374</v>
      </c>
      <c r="E16" s="4" t="s">
        <v>658</v>
      </c>
      <c r="F16" s="30" t="s">
        <v>68</v>
      </c>
    </row>
    <row r="17" customFormat="false" ht="15" hidden="false" customHeight="false" outlineLevel="0" collapsed="false">
      <c r="A17" s="4" t="s">
        <v>682</v>
      </c>
      <c r="B17" s="4" t="s">
        <v>683</v>
      </c>
      <c r="C17" s="4" t="s">
        <v>684</v>
      </c>
      <c r="D17" s="5" t="s">
        <v>374</v>
      </c>
      <c r="E17" s="4" t="s">
        <v>658</v>
      </c>
      <c r="F17" s="6" t="s">
        <v>39</v>
      </c>
    </row>
    <row r="18" customFormat="false" ht="15" hidden="false" customHeight="false" outlineLevel="0" collapsed="false">
      <c r="A18" s="4" t="s">
        <v>685</v>
      </c>
      <c r="B18" s="4" t="s">
        <v>686</v>
      </c>
      <c r="C18" s="4" t="s">
        <v>684</v>
      </c>
      <c r="D18" s="5" t="s">
        <v>374</v>
      </c>
      <c r="E18" s="4" t="s">
        <v>658</v>
      </c>
      <c r="F18" s="5" t="s">
        <v>13</v>
      </c>
    </row>
    <row r="19" customFormat="false" ht="15" hidden="false" customHeight="false" outlineLevel="0" collapsed="false">
      <c r="A19" s="4" t="s">
        <v>687</v>
      </c>
      <c r="B19" s="4" t="s">
        <v>688</v>
      </c>
      <c r="C19" s="4" t="s">
        <v>684</v>
      </c>
      <c r="D19" s="5" t="s">
        <v>374</v>
      </c>
      <c r="E19" s="4" t="s">
        <v>658</v>
      </c>
      <c r="F19" s="5" t="s">
        <v>13</v>
      </c>
    </row>
    <row r="20" customFormat="false" ht="15" hidden="false" customHeight="false" outlineLevel="0" collapsed="false">
      <c r="A20" s="4" t="s">
        <v>689</v>
      </c>
      <c r="B20" s="4" t="s">
        <v>690</v>
      </c>
      <c r="C20" s="4" t="s">
        <v>684</v>
      </c>
      <c r="D20" s="23" t="s">
        <v>290</v>
      </c>
      <c r="E20" s="4" t="s">
        <v>658</v>
      </c>
      <c r="F20" s="5" t="s">
        <v>13</v>
      </c>
    </row>
    <row r="21" customFormat="false" ht="15" hidden="false" customHeight="false" outlineLevel="0" collapsed="false">
      <c r="A21" s="4" t="s">
        <v>691</v>
      </c>
      <c r="B21" s="4" t="s">
        <v>692</v>
      </c>
      <c r="C21" s="4" t="s">
        <v>684</v>
      </c>
      <c r="D21" s="23" t="s">
        <v>290</v>
      </c>
      <c r="E21" s="4" t="s">
        <v>658</v>
      </c>
      <c r="F21" s="5" t="s">
        <v>13</v>
      </c>
    </row>
    <row r="22" customFormat="false" ht="15" hidden="false" customHeight="false" outlineLevel="0" collapsed="false">
      <c r="A22" s="4" t="s">
        <v>693</v>
      </c>
      <c r="B22" s="4" t="s">
        <v>694</v>
      </c>
      <c r="C22" s="4" t="s">
        <v>684</v>
      </c>
      <c r="D22" s="23" t="s">
        <v>290</v>
      </c>
      <c r="E22" s="4" t="s">
        <v>658</v>
      </c>
      <c r="F22" s="5" t="s">
        <v>13</v>
      </c>
    </row>
    <row r="23" customFormat="false" ht="15" hidden="false" customHeight="false" outlineLevel="0" collapsed="false">
      <c r="A23" s="4" t="s">
        <v>695</v>
      </c>
      <c r="B23" s="4" t="s">
        <v>696</v>
      </c>
      <c r="C23" s="4" t="s">
        <v>684</v>
      </c>
      <c r="D23" s="23" t="s">
        <v>290</v>
      </c>
      <c r="E23" s="4" t="s">
        <v>658</v>
      </c>
      <c r="F23" s="5" t="s">
        <v>13</v>
      </c>
    </row>
    <row r="24" customFormat="false" ht="15" hidden="false" customHeight="false" outlineLevel="0" collapsed="false">
      <c r="A24" s="4" t="s">
        <v>697</v>
      </c>
      <c r="B24" s="4" t="s">
        <v>698</v>
      </c>
      <c r="C24" s="4" t="s">
        <v>684</v>
      </c>
      <c r="D24" s="23" t="s">
        <v>290</v>
      </c>
      <c r="E24" s="4" t="s">
        <v>658</v>
      </c>
      <c r="F24" s="5" t="s">
        <v>13</v>
      </c>
    </row>
    <row r="25" customFormat="false" ht="15" hidden="false" customHeight="false" outlineLevel="0" collapsed="false">
      <c r="A25" s="4" t="s">
        <v>699</v>
      </c>
      <c r="B25" s="4" t="s">
        <v>700</v>
      </c>
      <c r="C25" s="4" t="s">
        <v>684</v>
      </c>
      <c r="D25" s="23" t="s">
        <v>290</v>
      </c>
      <c r="E25" s="4" t="s">
        <v>658</v>
      </c>
      <c r="F25" s="5" t="s">
        <v>13</v>
      </c>
    </row>
    <row r="26" customFormat="false" ht="15" hidden="false" customHeight="false" outlineLevel="0" collapsed="false">
      <c r="A26" s="4" t="s">
        <v>701</v>
      </c>
      <c r="B26" s="4" t="s">
        <v>702</v>
      </c>
      <c r="C26" s="4" t="s">
        <v>684</v>
      </c>
      <c r="D26" s="23" t="s">
        <v>290</v>
      </c>
      <c r="E26" s="4" t="s">
        <v>658</v>
      </c>
      <c r="F26" s="5" t="s">
        <v>13</v>
      </c>
    </row>
    <row r="29" customFormat="false" ht="15" hidden="false" customHeight="false" outlineLevel="0" collapsed="false">
      <c r="A29" s="7" t="s">
        <v>703</v>
      </c>
    </row>
    <row r="30" customFormat="false" ht="15" hidden="false" customHeight="false" outlineLevel="0" collapsed="false">
      <c r="A30" s="31" t="s">
        <v>704</v>
      </c>
      <c r="B30" s="31" t="n">
        <f aca="false">COUNTIF(F4:F26,"DONE")</f>
        <v>13</v>
      </c>
    </row>
    <row r="31" customFormat="false" ht="15" hidden="false" customHeight="false" outlineLevel="0" collapsed="false">
      <c r="A31" s="31" t="s">
        <v>705</v>
      </c>
      <c r="B31" s="31" t="n">
        <f aca="false">COUNTA(F4:F26)-COUNTIF(F4:F26,"DONE")</f>
        <v>10</v>
      </c>
    </row>
    <row r="32" customFormat="false" ht="15" hidden="false" customHeight="false" outlineLevel="0" collapsed="false">
      <c r="A32" s="31" t="s">
        <v>706</v>
      </c>
      <c r="B32" s="31" t="n">
        <f aca="false">COUNTIFS(D4:D26,"P0",F4:F26,"TODO")+COUNTIFS(D4:D26,"P0",F4:F26,"IN PROGRESS")</f>
        <v>3</v>
      </c>
    </row>
    <row r="34" customFormat="false" ht="21.75" hidden="false" customHeight="true" outlineLevel="0" collapsed="false">
      <c r="A34" s="16" t="s">
        <v>707</v>
      </c>
      <c r="B34" s="16"/>
      <c r="C34" s="16"/>
      <c r="D34" s="16"/>
      <c r="E34" s="16"/>
      <c r="F34" s="16"/>
    </row>
    <row r="35" customFormat="false" ht="24" hidden="false" customHeight="true" outlineLevel="0" collapsed="false">
      <c r="A35" s="3" t="s">
        <v>708</v>
      </c>
      <c r="B35" s="3" t="s">
        <v>370</v>
      </c>
      <c r="C35" s="3" t="s">
        <v>709</v>
      </c>
      <c r="D35" s="3" t="s">
        <v>710</v>
      </c>
      <c r="E35" s="3" t="s">
        <v>711</v>
      </c>
      <c r="F35" s="3" t="s">
        <v>6</v>
      </c>
    </row>
    <row r="36" customFormat="false" ht="15" hidden="false" customHeight="false" outlineLevel="0" collapsed="false">
      <c r="A36" s="32"/>
      <c r="B36" s="32"/>
      <c r="C36" s="32"/>
      <c r="D36" s="32"/>
      <c r="E36" s="32"/>
      <c r="F36" s="32"/>
    </row>
    <row r="37" customFormat="false" ht="15" hidden="false" customHeight="false" outlineLevel="0" collapsed="false">
      <c r="A37" s="32"/>
      <c r="B37" s="32"/>
      <c r="C37" s="32"/>
      <c r="D37" s="32"/>
      <c r="E37" s="32"/>
      <c r="F37" s="32"/>
    </row>
    <row r="38" customFormat="false" ht="15" hidden="false" customHeight="false" outlineLevel="0" collapsed="false">
      <c r="A38" s="32"/>
      <c r="B38" s="32"/>
      <c r="C38" s="32"/>
      <c r="D38" s="32"/>
      <c r="E38" s="32"/>
      <c r="F38" s="32"/>
    </row>
    <row r="39" customFormat="false" ht="15" hidden="false" customHeight="false" outlineLevel="0" collapsed="false">
      <c r="A39" s="32"/>
      <c r="B39" s="32"/>
      <c r="C39" s="32"/>
      <c r="D39" s="32"/>
      <c r="E39" s="32"/>
      <c r="F39" s="32"/>
    </row>
    <row r="40" customFormat="false" ht="15" hidden="false" customHeight="false" outlineLevel="0" collapsed="false">
      <c r="A40" s="32"/>
      <c r="B40" s="32"/>
      <c r="C40" s="32"/>
      <c r="D40" s="32"/>
      <c r="E40" s="32"/>
      <c r="F40" s="32"/>
    </row>
  </sheetData>
  <mergeCells count="2">
    <mergeCell ref="A1:F1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7" min="6" style="0" width="14"/>
  </cols>
  <sheetData>
    <row r="1" customFormat="false" ht="17.35" hidden="false" customHeight="false" outlineLevel="0" collapsed="false">
      <c r="A1" s="14" t="s">
        <v>712</v>
      </c>
      <c r="B1" s="14"/>
      <c r="C1" s="14"/>
      <c r="D1" s="14"/>
      <c r="E1" s="14"/>
      <c r="F1" s="14"/>
      <c r="G1" s="14"/>
    </row>
    <row r="3" customFormat="false" ht="21.75" hidden="false" customHeight="true" outlineLevel="0" collapsed="false">
      <c r="A3" s="16" t="s">
        <v>713</v>
      </c>
      <c r="B3" s="16"/>
      <c r="C3" s="16"/>
      <c r="D3" s="16"/>
      <c r="E3" s="16"/>
      <c r="F3" s="16"/>
      <c r="G3" s="16"/>
    </row>
    <row r="4" customFormat="false" ht="24" hidden="false" customHeight="true" outlineLevel="0" collapsed="false">
      <c r="A4" s="3" t="s">
        <v>714</v>
      </c>
      <c r="B4" s="3" t="s">
        <v>165</v>
      </c>
      <c r="C4" s="3" t="s">
        <v>715</v>
      </c>
      <c r="D4" s="3" t="s">
        <v>716</v>
      </c>
      <c r="E4" s="3" t="s">
        <v>709</v>
      </c>
      <c r="F4" s="3" t="s">
        <v>717</v>
      </c>
      <c r="G4" s="3" t="s">
        <v>6</v>
      </c>
    </row>
    <row r="5" customFormat="false" ht="15" hidden="false" customHeight="false" outlineLevel="0" collapsed="false">
      <c r="A5" s="4" t="s">
        <v>718</v>
      </c>
      <c r="B5" s="4" t="s">
        <v>188</v>
      </c>
      <c r="C5" s="4" t="s">
        <v>719</v>
      </c>
      <c r="D5" s="4" t="s">
        <v>720</v>
      </c>
      <c r="E5" s="23" t="s">
        <v>290</v>
      </c>
      <c r="F5" s="4" t="s">
        <v>186</v>
      </c>
      <c r="G5" s="5" t="s">
        <v>13</v>
      </c>
    </row>
    <row r="6" customFormat="false" ht="15" hidden="false" customHeight="false" outlineLevel="0" collapsed="false">
      <c r="A6" s="4" t="s">
        <v>721</v>
      </c>
      <c r="B6" s="4" t="s">
        <v>188</v>
      </c>
      <c r="C6" s="4" t="s">
        <v>722</v>
      </c>
      <c r="D6" s="4" t="s">
        <v>720</v>
      </c>
      <c r="E6" s="23" t="s">
        <v>290</v>
      </c>
      <c r="F6" s="4" t="s">
        <v>186</v>
      </c>
      <c r="G6" s="5" t="s">
        <v>13</v>
      </c>
    </row>
    <row r="7" customFormat="false" ht="15" hidden="false" customHeight="false" outlineLevel="0" collapsed="false">
      <c r="A7" s="4" t="s">
        <v>723</v>
      </c>
      <c r="B7" s="4" t="s">
        <v>188</v>
      </c>
      <c r="C7" s="4" t="s">
        <v>724</v>
      </c>
      <c r="D7" s="4" t="s">
        <v>720</v>
      </c>
      <c r="E7" s="23" t="s">
        <v>290</v>
      </c>
      <c r="F7" s="4" t="s">
        <v>186</v>
      </c>
      <c r="G7" s="5" t="s">
        <v>13</v>
      </c>
    </row>
    <row r="8" customFormat="false" ht="15" hidden="false" customHeight="false" outlineLevel="0" collapsed="false">
      <c r="A8" s="4" t="s">
        <v>725</v>
      </c>
      <c r="B8" s="4" t="s">
        <v>188</v>
      </c>
      <c r="C8" s="4" t="s">
        <v>726</v>
      </c>
      <c r="D8" s="4" t="s">
        <v>720</v>
      </c>
      <c r="E8" s="23" t="s">
        <v>290</v>
      </c>
      <c r="F8" s="4" t="s">
        <v>186</v>
      </c>
      <c r="G8" s="5" t="s">
        <v>13</v>
      </c>
    </row>
    <row r="9" customFormat="false" ht="15" hidden="false" customHeight="false" outlineLevel="0" collapsed="false">
      <c r="A9" s="4" t="s">
        <v>727</v>
      </c>
      <c r="B9" s="4" t="s">
        <v>188</v>
      </c>
      <c r="C9" s="4" t="s">
        <v>728</v>
      </c>
      <c r="D9" s="4" t="s">
        <v>720</v>
      </c>
      <c r="E9" s="23" t="s">
        <v>290</v>
      </c>
      <c r="F9" s="4" t="s">
        <v>186</v>
      </c>
      <c r="G9" s="5" t="s">
        <v>13</v>
      </c>
    </row>
    <row r="10" customFormat="false" ht="15" hidden="false" customHeight="false" outlineLevel="0" collapsed="false">
      <c r="A10" s="4" t="s">
        <v>729</v>
      </c>
      <c r="B10" s="4" t="s">
        <v>188</v>
      </c>
      <c r="C10" s="4" t="s">
        <v>730</v>
      </c>
      <c r="D10" s="4" t="s">
        <v>720</v>
      </c>
      <c r="E10" s="23" t="s">
        <v>290</v>
      </c>
      <c r="F10" s="4" t="s">
        <v>186</v>
      </c>
      <c r="G10" s="5" t="s">
        <v>13</v>
      </c>
    </row>
    <row r="11" customFormat="false" ht="15" hidden="false" customHeight="false" outlineLevel="0" collapsed="false">
      <c r="A11" s="4" t="s">
        <v>731</v>
      </c>
      <c r="B11" s="4" t="s">
        <v>188</v>
      </c>
      <c r="C11" s="4" t="s">
        <v>732</v>
      </c>
      <c r="D11" s="4" t="s">
        <v>720</v>
      </c>
      <c r="E11" s="23" t="s">
        <v>290</v>
      </c>
      <c r="F11" s="4" t="s">
        <v>186</v>
      </c>
      <c r="G11" s="5" t="s">
        <v>13</v>
      </c>
    </row>
    <row r="12" customFormat="false" ht="15" hidden="false" customHeight="false" outlineLevel="0" collapsed="false">
      <c r="A12" s="4" t="s">
        <v>733</v>
      </c>
      <c r="B12" s="4" t="s">
        <v>188</v>
      </c>
      <c r="C12" s="4" t="s">
        <v>734</v>
      </c>
      <c r="D12" s="4" t="s">
        <v>720</v>
      </c>
      <c r="E12" s="23" t="s">
        <v>290</v>
      </c>
      <c r="F12" s="4" t="s">
        <v>186</v>
      </c>
      <c r="G12" s="5" t="s">
        <v>13</v>
      </c>
    </row>
    <row r="13" customFormat="false" ht="15" hidden="false" customHeight="false" outlineLevel="0" collapsed="false">
      <c r="A13" s="4" t="s">
        <v>735</v>
      </c>
      <c r="B13" s="4" t="s">
        <v>188</v>
      </c>
      <c r="C13" s="4" t="s">
        <v>736</v>
      </c>
      <c r="D13" s="4" t="s">
        <v>720</v>
      </c>
      <c r="E13" s="23" t="s">
        <v>290</v>
      </c>
      <c r="F13" s="4" t="s">
        <v>186</v>
      </c>
      <c r="G13" s="5" t="s">
        <v>13</v>
      </c>
    </row>
    <row r="14" customFormat="false" ht="23.85" hidden="false" customHeight="false" outlineLevel="0" collapsed="false">
      <c r="A14" s="4" t="s">
        <v>737</v>
      </c>
      <c r="B14" s="4" t="s">
        <v>188</v>
      </c>
      <c r="C14" s="4" t="s">
        <v>738</v>
      </c>
      <c r="D14" s="4" t="s">
        <v>720</v>
      </c>
      <c r="E14" s="23" t="s">
        <v>290</v>
      </c>
      <c r="F14" s="4" t="s">
        <v>186</v>
      </c>
      <c r="G14" s="5" t="s">
        <v>13</v>
      </c>
    </row>
    <row r="15" customFormat="false" ht="15" hidden="false" customHeight="false" outlineLevel="0" collapsed="false">
      <c r="A15" s="4" t="s">
        <v>739</v>
      </c>
      <c r="B15" s="4" t="s">
        <v>183</v>
      </c>
      <c r="C15" s="4" t="s">
        <v>472</v>
      </c>
      <c r="D15" s="4" t="s">
        <v>740</v>
      </c>
      <c r="E15" s="23" t="s">
        <v>290</v>
      </c>
      <c r="F15" s="4" t="s">
        <v>180</v>
      </c>
      <c r="G15" s="5" t="s">
        <v>13</v>
      </c>
    </row>
    <row r="16" customFormat="false" ht="15" hidden="false" customHeight="false" outlineLevel="0" collapsed="false">
      <c r="A16" s="4" t="s">
        <v>741</v>
      </c>
      <c r="B16" s="4" t="s">
        <v>183</v>
      </c>
      <c r="C16" s="4" t="s">
        <v>742</v>
      </c>
      <c r="D16" s="4" t="s">
        <v>740</v>
      </c>
      <c r="E16" s="23" t="s">
        <v>290</v>
      </c>
      <c r="F16" s="4" t="s">
        <v>180</v>
      </c>
      <c r="G16" s="5" t="s">
        <v>13</v>
      </c>
    </row>
    <row r="17" customFormat="false" ht="15" hidden="false" customHeight="false" outlineLevel="0" collapsed="false">
      <c r="A17" s="4" t="s">
        <v>743</v>
      </c>
      <c r="B17" s="4" t="s">
        <v>183</v>
      </c>
      <c r="C17" s="4" t="s">
        <v>480</v>
      </c>
      <c r="D17" s="4" t="s">
        <v>740</v>
      </c>
      <c r="E17" s="23" t="s">
        <v>290</v>
      </c>
      <c r="F17" s="4" t="s">
        <v>180</v>
      </c>
      <c r="G17" s="5" t="s">
        <v>13</v>
      </c>
    </row>
    <row r="18" customFormat="false" ht="15" hidden="false" customHeight="false" outlineLevel="0" collapsed="false">
      <c r="A18" s="4" t="s">
        <v>744</v>
      </c>
      <c r="B18" s="4" t="s">
        <v>183</v>
      </c>
      <c r="C18" s="4" t="s">
        <v>484</v>
      </c>
      <c r="D18" s="4" t="s">
        <v>740</v>
      </c>
      <c r="E18" s="23" t="s">
        <v>290</v>
      </c>
      <c r="F18" s="4" t="s">
        <v>180</v>
      </c>
      <c r="G18" s="5" t="s">
        <v>13</v>
      </c>
    </row>
    <row r="19" customFormat="false" ht="15" hidden="false" customHeight="false" outlineLevel="0" collapsed="false">
      <c r="A19" s="4" t="s">
        <v>745</v>
      </c>
      <c r="B19" s="4" t="s">
        <v>183</v>
      </c>
      <c r="C19" s="4" t="s">
        <v>746</v>
      </c>
      <c r="D19" s="4" t="s">
        <v>740</v>
      </c>
      <c r="E19" s="23" t="s">
        <v>290</v>
      </c>
      <c r="F19" s="4" t="s">
        <v>180</v>
      </c>
      <c r="G19" s="5" t="s">
        <v>13</v>
      </c>
    </row>
    <row r="20" customFormat="false" ht="15" hidden="false" customHeight="false" outlineLevel="0" collapsed="false">
      <c r="A20" s="4" t="s">
        <v>747</v>
      </c>
      <c r="B20" s="4" t="s">
        <v>183</v>
      </c>
      <c r="C20" s="4" t="s">
        <v>748</v>
      </c>
      <c r="D20" s="4" t="s">
        <v>740</v>
      </c>
      <c r="E20" s="23" t="s">
        <v>290</v>
      </c>
      <c r="F20" s="4" t="s">
        <v>180</v>
      </c>
      <c r="G20" s="5" t="s">
        <v>13</v>
      </c>
    </row>
    <row r="21" customFormat="false" ht="15" hidden="false" customHeight="false" outlineLevel="0" collapsed="false">
      <c r="A21" s="4" t="s">
        <v>749</v>
      </c>
      <c r="B21" s="4" t="s">
        <v>183</v>
      </c>
      <c r="C21" s="4" t="s">
        <v>750</v>
      </c>
      <c r="D21" s="4" t="s">
        <v>740</v>
      </c>
      <c r="E21" s="23" t="s">
        <v>290</v>
      </c>
      <c r="F21" s="4" t="s">
        <v>180</v>
      </c>
      <c r="G21" s="5" t="s">
        <v>13</v>
      </c>
    </row>
    <row r="22" customFormat="false" ht="15" hidden="false" customHeight="false" outlineLevel="0" collapsed="false">
      <c r="A22" s="4" t="s">
        <v>751</v>
      </c>
      <c r="B22" s="4" t="s">
        <v>183</v>
      </c>
      <c r="C22" s="4" t="s">
        <v>752</v>
      </c>
      <c r="D22" s="4" t="s">
        <v>740</v>
      </c>
      <c r="E22" s="23" t="s">
        <v>290</v>
      </c>
      <c r="F22" s="4" t="s">
        <v>180</v>
      </c>
      <c r="G22" s="5" t="s">
        <v>13</v>
      </c>
    </row>
    <row r="23" customFormat="false" ht="15" hidden="false" customHeight="false" outlineLevel="0" collapsed="false">
      <c r="A23" s="4" t="s">
        <v>753</v>
      </c>
      <c r="B23" s="4" t="s">
        <v>183</v>
      </c>
      <c r="C23" s="4" t="s">
        <v>754</v>
      </c>
      <c r="D23" s="4" t="s">
        <v>740</v>
      </c>
      <c r="E23" s="23" t="s">
        <v>290</v>
      </c>
      <c r="F23" s="4" t="s">
        <v>180</v>
      </c>
      <c r="G23" s="5" t="s">
        <v>13</v>
      </c>
    </row>
    <row r="24" customFormat="false" ht="15" hidden="false" customHeight="false" outlineLevel="0" collapsed="false">
      <c r="A24" s="4" t="s">
        <v>755</v>
      </c>
      <c r="B24" s="4" t="s">
        <v>183</v>
      </c>
      <c r="C24" s="4" t="s">
        <v>756</v>
      </c>
      <c r="D24" s="4" t="s">
        <v>740</v>
      </c>
      <c r="E24" s="23" t="s">
        <v>290</v>
      </c>
      <c r="F24" s="4" t="s">
        <v>180</v>
      </c>
      <c r="G24" s="5" t="s">
        <v>13</v>
      </c>
    </row>
    <row r="25" customFormat="false" ht="15" hidden="false" customHeight="false" outlineLevel="0" collapsed="false">
      <c r="A25" s="4" t="s">
        <v>757</v>
      </c>
      <c r="B25" s="4" t="s">
        <v>177</v>
      </c>
      <c r="C25" s="4" t="s">
        <v>758</v>
      </c>
      <c r="D25" s="4" t="s">
        <v>740</v>
      </c>
      <c r="E25" s="5" t="s">
        <v>374</v>
      </c>
      <c r="F25" s="4" t="s">
        <v>174</v>
      </c>
      <c r="G25" s="5" t="s">
        <v>13</v>
      </c>
    </row>
    <row r="26" customFormat="false" ht="15" hidden="false" customHeight="false" outlineLevel="0" collapsed="false">
      <c r="A26" s="4" t="s">
        <v>759</v>
      </c>
      <c r="B26" s="4" t="s">
        <v>177</v>
      </c>
      <c r="C26" s="4" t="s">
        <v>495</v>
      </c>
      <c r="D26" s="4" t="s">
        <v>740</v>
      </c>
      <c r="E26" s="5" t="s">
        <v>374</v>
      </c>
      <c r="F26" s="4" t="s">
        <v>174</v>
      </c>
      <c r="G26" s="5" t="s">
        <v>13</v>
      </c>
    </row>
    <row r="27" customFormat="false" ht="15" hidden="false" customHeight="false" outlineLevel="0" collapsed="false">
      <c r="A27" s="4" t="s">
        <v>760</v>
      </c>
      <c r="B27" s="4" t="s">
        <v>177</v>
      </c>
      <c r="C27" s="4" t="s">
        <v>761</v>
      </c>
      <c r="D27" s="4" t="s">
        <v>740</v>
      </c>
      <c r="E27" s="5" t="s">
        <v>374</v>
      </c>
      <c r="F27" s="4" t="s">
        <v>174</v>
      </c>
      <c r="G27" s="5" t="s">
        <v>13</v>
      </c>
    </row>
    <row r="28" customFormat="false" ht="15" hidden="false" customHeight="false" outlineLevel="0" collapsed="false">
      <c r="A28" s="4" t="s">
        <v>762</v>
      </c>
      <c r="B28" s="4" t="s">
        <v>177</v>
      </c>
      <c r="C28" s="4" t="s">
        <v>763</v>
      </c>
      <c r="D28" s="4" t="s">
        <v>740</v>
      </c>
      <c r="E28" s="5" t="s">
        <v>374</v>
      </c>
      <c r="F28" s="4" t="s">
        <v>174</v>
      </c>
      <c r="G28" s="5" t="s">
        <v>13</v>
      </c>
    </row>
    <row r="29" customFormat="false" ht="15" hidden="false" customHeight="false" outlineLevel="0" collapsed="false">
      <c r="A29" s="4" t="s">
        <v>764</v>
      </c>
      <c r="B29" s="4" t="s">
        <v>177</v>
      </c>
      <c r="C29" s="4" t="s">
        <v>765</v>
      </c>
      <c r="D29" s="4" t="s">
        <v>740</v>
      </c>
      <c r="E29" s="5" t="s">
        <v>374</v>
      </c>
      <c r="F29" s="4" t="s">
        <v>174</v>
      </c>
      <c r="G29" s="5" t="s">
        <v>13</v>
      </c>
    </row>
    <row r="30" customFormat="false" ht="15" hidden="false" customHeight="false" outlineLevel="0" collapsed="false">
      <c r="A30" s="4" t="s">
        <v>766</v>
      </c>
      <c r="B30" s="4" t="s">
        <v>177</v>
      </c>
      <c r="C30" s="4" t="s">
        <v>767</v>
      </c>
      <c r="D30" s="4" t="s">
        <v>740</v>
      </c>
      <c r="E30" s="5" t="s">
        <v>374</v>
      </c>
      <c r="F30" s="4" t="s">
        <v>174</v>
      </c>
      <c r="G30" s="5" t="s">
        <v>13</v>
      </c>
    </row>
    <row r="31" customFormat="false" ht="15" hidden="false" customHeight="false" outlineLevel="0" collapsed="false">
      <c r="A31" s="4" t="s">
        <v>768</v>
      </c>
      <c r="B31" s="4" t="s">
        <v>177</v>
      </c>
      <c r="C31" s="4" t="s">
        <v>769</v>
      </c>
      <c r="D31" s="4" t="s">
        <v>740</v>
      </c>
      <c r="E31" s="5" t="s">
        <v>374</v>
      </c>
      <c r="F31" s="4" t="s">
        <v>174</v>
      </c>
      <c r="G31" s="5" t="s">
        <v>13</v>
      </c>
    </row>
    <row r="32" customFormat="false" ht="15" hidden="false" customHeight="false" outlineLevel="0" collapsed="false">
      <c r="A32" s="4" t="s">
        <v>770</v>
      </c>
      <c r="B32" s="4" t="s">
        <v>177</v>
      </c>
      <c r="C32" s="4" t="s">
        <v>771</v>
      </c>
      <c r="D32" s="4" t="s">
        <v>740</v>
      </c>
      <c r="E32" s="5" t="s">
        <v>374</v>
      </c>
      <c r="F32" s="4" t="s">
        <v>174</v>
      </c>
      <c r="G32" s="5" t="s">
        <v>13</v>
      </c>
    </row>
    <row r="33" customFormat="false" ht="15" hidden="false" customHeight="false" outlineLevel="0" collapsed="false">
      <c r="A33" s="4" t="s">
        <v>772</v>
      </c>
      <c r="B33" s="4" t="s">
        <v>177</v>
      </c>
      <c r="C33" s="4" t="s">
        <v>773</v>
      </c>
      <c r="D33" s="4" t="s">
        <v>740</v>
      </c>
      <c r="E33" s="5" t="s">
        <v>374</v>
      </c>
      <c r="F33" s="4" t="s">
        <v>174</v>
      </c>
      <c r="G33" s="5" t="s">
        <v>13</v>
      </c>
    </row>
    <row r="34" customFormat="false" ht="15" hidden="false" customHeight="false" outlineLevel="0" collapsed="false">
      <c r="A34" s="4" t="s">
        <v>774</v>
      </c>
      <c r="B34" s="4" t="s">
        <v>177</v>
      </c>
      <c r="C34" s="4" t="s">
        <v>775</v>
      </c>
      <c r="D34" s="4" t="s">
        <v>740</v>
      </c>
      <c r="E34" s="5" t="s">
        <v>374</v>
      </c>
      <c r="F34" s="4" t="s">
        <v>174</v>
      </c>
      <c r="G34" s="5" t="s">
        <v>13</v>
      </c>
    </row>
    <row r="35" customFormat="false" ht="15" hidden="false" customHeight="false" outlineLevel="0" collapsed="false">
      <c r="A35" s="4" t="s">
        <v>776</v>
      </c>
      <c r="B35" s="4" t="s">
        <v>171</v>
      </c>
      <c r="C35" s="4" t="s">
        <v>777</v>
      </c>
      <c r="D35" s="4" t="s">
        <v>740</v>
      </c>
      <c r="E35" s="5" t="s">
        <v>374</v>
      </c>
      <c r="F35" s="4" t="s">
        <v>778</v>
      </c>
      <c r="G35" s="5" t="s">
        <v>13</v>
      </c>
    </row>
    <row r="36" customFormat="false" ht="15" hidden="false" customHeight="false" outlineLevel="0" collapsed="false">
      <c r="A36" s="4" t="s">
        <v>779</v>
      </c>
      <c r="B36" s="4" t="s">
        <v>171</v>
      </c>
      <c r="C36" s="4" t="s">
        <v>780</v>
      </c>
      <c r="D36" s="4" t="s">
        <v>740</v>
      </c>
      <c r="E36" s="5" t="s">
        <v>374</v>
      </c>
      <c r="F36" s="4" t="s">
        <v>778</v>
      </c>
      <c r="G36" s="5" t="s">
        <v>13</v>
      </c>
    </row>
    <row r="37" customFormat="false" ht="15" hidden="false" customHeight="false" outlineLevel="0" collapsed="false">
      <c r="A37" s="4" t="s">
        <v>781</v>
      </c>
      <c r="B37" s="4" t="s">
        <v>171</v>
      </c>
      <c r="C37" s="4" t="s">
        <v>782</v>
      </c>
      <c r="D37" s="4" t="s">
        <v>740</v>
      </c>
      <c r="E37" s="5" t="s">
        <v>374</v>
      </c>
      <c r="F37" s="4" t="s">
        <v>778</v>
      </c>
      <c r="G37" s="5" t="s">
        <v>13</v>
      </c>
    </row>
    <row r="38" customFormat="false" ht="15" hidden="false" customHeight="false" outlineLevel="0" collapsed="false">
      <c r="A38" s="4" t="s">
        <v>783</v>
      </c>
      <c r="B38" s="4" t="s">
        <v>171</v>
      </c>
      <c r="C38" s="4" t="s">
        <v>784</v>
      </c>
      <c r="D38" s="4" t="s">
        <v>740</v>
      </c>
      <c r="E38" s="5" t="s">
        <v>374</v>
      </c>
      <c r="F38" s="4" t="s">
        <v>778</v>
      </c>
      <c r="G38" s="5" t="s">
        <v>13</v>
      </c>
    </row>
    <row r="39" customFormat="false" ht="15" hidden="false" customHeight="false" outlineLevel="0" collapsed="false">
      <c r="A39" s="4" t="s">
        <v>785</v>
      </c>
      <c r="B39" s="4" t="s">
        <v>171</v>
      </c>
      <c r="C39" s="4" t="s">
        <v>786</v>
      </c>
      <c r="D39" s="4" t="s">
        <v>740</v>
      </c>
      <c r="E39" s="5" t="s">
        <v>374</v>
      </c>
      <c r="F39" s="4" t="s">
        <v>778</v>
      </c>
      <c r="G39" s="5" t="s">
        <v>13</v>
      </c>
    </row>
    <row r="40" customFormat="false" ht="15" hidden="false" customHeight="false" outlineLevel="0" collapsed="false">
      <c r="A40" s="4" t="s">
        <v>787</v>
      </c>
      <c r="B40" s="4" t="s">
        <v>171</v>
      </c>
      <c r="C40" s="4" t="s">
        <v>788</v>
      </c>
      <c r="D40" s="4" t="s">
        <v>740</v>
      </c>
      <c r="E40" s="5" t="s">
        <v>374</v>
      </c>
      <c r="F40" s="4" t="s">
        <v>778</v>
      </c>
      <c r="G40" s="5" t="s">
        <v>13</v>
      </c>
    </row>
    <row r="41" customFormat="false" ht="15" hidden="false" customHeight="false" outlineLevel="0" collapsed="false">
      <c r="A41" s="4" t="s">
        <v>789</v>
      </c>
      <c r="B41" s="4" t="s">
        <v>171</v>
      </c>
      <c r="C41" s="4" t="s">
        <v>790</v>
      </c>
      <c r="D41" s="4" t="s">
        <v>740</v>
      </c>
      <c r="E41" s="5" t="s">
        <v>374</v>
      </c>
      <c r="F41" s="4" t="s">
        <v>778</v>
      </c>
      <c r="G41" s="5" t="s">
        <v>13</v>
      </c>
    </row>
    <row r="42" customFormat="false" ht="15" hidden="false" customHeight="false" outlineLevel="0" collapsed="false">
      <c r="A42" s="4" t="s">
        <v>791</v>
      </c>
      <c r="B42" s="4" t="s">
        <v>171</v>
      </c>
      <c r="C42" s="4" t="s">
        <v>792</v>
      </c>
      <c r="D42" s="4" t="s">
        <v>740</v>
      </c>
      <c r="E42" s="5" t="s">
        <v>374</v>
      </c>
      <c r="F42" s="4" t="s">
        <v>778</v>
      </c>
      <c r="G42" s="5" t="s">
        <v>13</v>
      </c>
    </row>
    <row r="43" customFormat="false" ht="15" hidden="false" customHeight="false" outlineLevel="0" collapsed="false">
      <c r="A43" s="4" t="s">
        <v>793</v>
      </c>
      <c r="B43" s="4" t="s">
        <v>171</v>
      </c>
      <c r="C43" s="4" t="s">
        <v>794</v>
      </c>
      <c r="D43" s="4" t="s">
        <v>740</v>
      </c>
      <c r="E43" s="5" t="s">
        <v>374</v>
      </c>
      <c r="F43" s="4" t="s">
        <v>778</v>
      </c>
      <c r="G43" s="5" t="s">
        <v>13</v>
      </c>
    </row>
    <row r="44" customFormat="false" ht="15" hidden="false" customHeight="false" outlineLevel="0" collapsed="false">
      <c r="A44" s="4" t="s">
        <v>795</v>
      </c>
      <c r="B44" s="4" t="s">
        <v>171</v>
      </c>
      <c r="C44" s="4" t="s">
        <v>796</v>
      </c>
      <c r="D44" s="4" t="s">
        <v>740</v>
      </c>
      <c r="E44" s="5" t="s">
        <v>374</v>
      </c>
      <c r="F44" s="4" t="s">
        <v>778</v>
      </c>
      <c r="G44" s="5" t="s">
        <v>13</v>
      </c>
    </row>
    <row r="45" customFormat="false" ht="15" hidden="false" customHeight="false" outlineLevel="0" collapsed="false">
      <c r="A45" s="4" t="s">
        <v>797</v>
      </c>
      <c r="B45" s="4" t="s">
        <v>198</v>
      </c>
      <c r="C45" s="4" t="s">
        <v>798</v>
      </c>
      <c r="D45" s="4" t="s">
        <v>740</v>
      </c>
      <c r="E45" s="4" t="s">
        <v>292</v>
      </c>
      <c r="F45" s="4" t="s">
        <v>799</v>
      </c>
      <c r="G45" s="5" t="s">
        <v>13</v>
      </c>
    </row>
    <row r="46" customFormat="false" ht="15" hidden="false" customHeight="false" outlineLevel="0" collapsed="false">
      <c r="A46" s="4" t="s">
        <v>800</v>
      </c>
      <c r="B46" s="4" t="s">
        <v>198</v>
      </c>
      <c r="C46" s="4" t="s">
        <v>801</v>
      </c>
      <c r="D46" s="4" t="s">
        <v>740</v>
      </c>
      <c r="E46" s="4" t="s">
        <v>292</v>
      </c>
      <c r="F46" s="4" t="s">
        <v>799</v>
      </c>
      <c r="G46" s="5" t="s">
        <v>13</v>
      </c>
    </row>
    <row r="47" customFormat="false" ht="15" hidden="false" customHeight="false" outlineLevel="0" collapsed="false">
      <c r="A47" s="4" t="s">
        <v>802</v>
      </c>
      <c r="B47" s="4" t="s">
        <v>198</v>
      </c>
      <c r="C47" s="4" t="s">
        <v>803</v>
      </c>
      <c r="D47" s="4" t="s">
        <v>740</v>
      </c>
      <c r="E47" s="4" t="s">
        <v>292</v>
      </c>
      <c r="F47" s="4" t="s">
        <v>799</v>
      </c>
      <c r="G47" s="5" t="s">
        <v>13</v>
      </c>
    </row>
    <row r="48" customFormat="false" ht="15" hidden="false" customHeight="false" outlineLevel="0" collapsed="false">
      <c r="A48" s="4" t="s">
        <v>804</v>
      </c>
      <c r="B48" s="4" t="s">
        <v>198</v>
      </c>
      <c r="C48" s="4" t="s">
        <v>805</v>
      </c>
      <c r="D48" s="4" t="s">
        <v>740</v>
      </c>
      <c r="E48" s="4" t="s">
        <v>292</v>
      </c>
      <c r="F48" s="4" t="s">
        <v>799</v>
      </c>
      <c r="G48" s="5" t="s">
        <v>13</v>
      </c>
    </row>
    <row r="49" customFormat="false" ht="15" hidden="false" customHeight="false" outlineLevel="0" collapsed="false">
      <c r="A49" s="4" t="s">
        <v>806</v>
      </c>
      <c r="B49" s="4" t="s">
        <v>198</v>
      </c>
      <c r="C49" s="4" t="s">
        <v>807</v>
      </c>
      <c r="D49" s="4" t="s">
        <v>740</v>
      </c>
      <c r="E49" s="4" t="s">
        <v>292</v>
      </c>
      <c r="F49" s="4" t="s">
        <v>799</v>
      </c>
      <c r="G49" s="5" t="s">
        <v>13</v>
      </c>
    </row>
    <row r="50" customFormat="false" ht="15" hidden="false" customHeight="false" outlineLevel="0" collapsed="false">
      <c r="A50" s="4" t="s">
        <v>808</v>
      </c>
      <c r="B50" s="4" t="s">
        <v>198</v>
      </c>
      <c r="C50" s="4" t="s">
        <v>809</v>
      </c>
      <c r="D50" s="4" t="s">
        <v>740</v>
      </c>
      <c r="E50" s="4" t="s">
        <v>292</v>
      </c>
      <c r="F50" s="4" t="s">
        <v>799</v>
      </c>
      <c r="G50" s="5" t="s">
        <v>13</v>
      </c>
    </row>
    <row r="51" customFormat="false" ht="15" hidden="false" customHeight="false" outlineLevel="0" collapsed="false">
      <c r="A51" s="4" t="s">
        <v>810</v>
      </c>
      <c r="B51" s="4" t="s">
        <v>198</v>
      </c>
      <c r="C51" s="4" t="s">
        <v>811</v>
      </c>
      <c r="D51" s="4" t="s">
        <v>740</v>
      </c>
      <c r="E51" s="4" t="s">
        <v>292</v>
      </c>
      <c r="F51" s="4" t="s">
        <v>799</v>
      </c>
      <c r="G51" s="5" t="s">
        <v>13</v>
      </c>
    </row>
    <row r="52" customFormat="false" ht="15" hidden="false" customHeight="false" outlineLevel="0" collapsed="false">
      <c r="A52" s="4" t="s">
        <v>812</v>
      </c>
      <c r="B52" s="4" t="s">
        <v>198</v>
      </c>
      <c r="C52" s="4" t="s">
        <v>813</v>
      </c>
      <c r="D52" s="4" t="s">
        <v>740</v>
      </c>
      <c r="E52" s="4" t="s">
        <v>292</v>
      </c>
      <c r="F52" s="4" t="s">
        <v>799</v>
      </c>
      <c r="G52" s="5" t="s">
        <v>13</v>
      </c>
    </row>
    <row r="53" customFormat="false" ht="15" hidden="false" customHeight="false" outlineLevel="0" collapsed="false">
      <c r="A53" s="4" t="s">
        <v>814</v>
      </c>
      <c r="B53" s="4" t="s">
        <v>198</v>
      </c>
      <c r="C53" s="4" t="s">
        <v>815</v>
      </c>
      <c r="D53" s="4" t="s">
        <v>740</v>
      </c>
      <c r="E53" s="4" t="s">
        <v>292</v>
      </c>
      <c r="F53" s="4" t="s">
        <v>799</v>
      </c>
      <c r="G53" s="5" t="s">
        <v>13</v>
      </c>
    </row>
    <row r="54" customFormat="false" ht="15" hidden="false" customHeight="false" outlineLevel="0" collapsed="false">
      <c r="A54" s="4" t="s">
        <v>816</v>
      </c>
      <c r="B54" s="4" t="s">
        <v>198</v>
      </c>
      <c r="C54" s="4" t="s">
        <v>817</v>
      </c>
      <c r="D54" s="4" t="s">
        <v>740</v>
      </c>
      <c r="E54" s="4" t="s">
        <v>292</v>
      </c>
      <c r="F54" s="4" t="s">
        <v>799</v>
      </c>
      <c r="G54" s="5" t="s">
        <v>13</v>
      </c>
    </row>
    <row r="57" customFormat="false" ht="21.75" hidden="false" customHeight="true" outlineLevel="0" collapsed="false">
      <c r="A57" s="16" t="s">
        <v>818</v>
      </c>
      <c r="B57" s="16"/>
      <c r="C57" s="16"/>
      <c r="D57" s="16"/>
      <c r="E57" s="16"/>
      <c r="F57" s="16"/>
      <c r="G57" s="16"/>
    </row>
    <row r="58" customFormat="false" ht="24" hidden="false" customHeight="true" outlineLevel="0" collapsed="false">
      <c r="A58" s="3" t="s">
        <v>165</v>
      </c>
      <c r="B58" s="3" t="s">
        <v>819</v>
      </c>
      <c r="C58" s="3" t="s">
        <v>820</v>
      </c>
      <c r="D58" s="3" t="s">
        <v>821</v>
      </c>
      <c r="E58" s="3" t="s">
        <v>822</v>
      </c>
      <c r="F58" s="3" t="s">
        <v>823</v>
      </c>
      <c r="G58" s="3" t="s">
        <v>6</v>
      </c>
    </row>
    <row r="59" customFormat="false" ht="35.05" hidden="false" customHeight="false" outlineLevel="0" collapsed="false">
      <c r="A59" s="4" t="s">
        <v>490</v>
      </c>
      <c r="B59" s="4" t="s">
        <v>824</v>
      </c>
      <c r="C59" s="4" t="s">
        <v>825</v>
      </c>
      <c r="D59" s="4" t="s">
        <v>201</v>
      </c>
      <c r="E59" s="4" t="s">
        <v>826</v>
      </c>
      <c r="F59" s="4" t="s">
        <v>827</v>
      </c>
      <c r="G59" s="5" t="s">
        <v>13</v>
      </c>
    </row>
    <row r="60" customFormat="false" ht="15" hidden="false" customHeight="false" outlineLevel="0" collapsed="false">
      <c r="A60" s="4" t="s">
        <v>471</v>
      </c>
      <c r="B60" s="4" t="s">
        <v>828</v>
      </c>
      <c r="C60" s="4" t="s">
        <v>829</v>
      </c>
      <c r="D60" s="4" t="s">
        <v>830</v>
      </c>
      <c r="E60" s="4" t="s">
        <v>831</v>
      </c>
      <c r="F60" s="4" t="s">
        <v>832</v>
      </c>
      <c r="G60" s="5" t="s">
        <v>13</v>
      </c>
    </row>
    <row r="61" customFormat="false" ht="23.85" hidden="false" customHeight="false" outlineLevel="0" collapsed="false">
      <c r="A61" s="4" t="s">
        <v>833</v>
      </c>
      <c r="B61" s="4" t="s">
        <v>834</v>
      </c>
      <c r="C61" s="4" t="s">
        <v>835</v>
      </c>
      <c r="D61" s="4" t="s">
        <v>201</v>
      </c>
      <c r="E61" s="4" t="s">
        <v>836</v>
      </c>
      <c r="F61" s="4" t="s">
        <v>832</v>
      </c>
      <c r="G61" s="5" t="s">
        <v>13</v>
      </c>
    </row>
    <row r="62" customFormat="false" ht="23.85" hidden="false" customHeight="false" outlineLevel="0" collapsed="false">
      <c r="A62" s="4" t="s">
        <v>837</v>
      </c>
      <c r="B62" s="4" t="s">
        <v>838</v>
      </c>
      <c r="C62" s="4" t="s">
        <v>839</v>
      </c>
      <c r="D62" s="4" t="s">
        <v>201</v>
      </c>
      <c r="E62" s="4" t="s">
        <v>840</v>
      </c>
      <c r="F62" s="4" t="s">
        <v>832</v>
      </c>
      <c r="G62" s="5" t="s">
        <v>13</v>
      </c>
    </row>
    <row r="63" customFormat="false" ht="23.85" hidden="false" customHeight="false" outlineLevel="0" collapsed="false">
      <c r="A63" s="4" t="s">
        <v>841</v>
      </c>
      <c r="B63" s="4" t="s">
        <v>828</v>
      </c>
      <c r="C63" s="4" t="s">
        <v>829</v>
      </c>
      <c r="D63" s="4" t="s">
        <v>201</v>
      </c>
      <c r="E63" s="4" t="s">
        <v>842</v>
      </c>
      <c r="F63" s="4" t="s">
        <v>827</v>
      </c>
      <c r="G63" s="5" t="s">
        <v>13</v>
      </c>
    </row>
    <row r="65" customFormat="false" ht="21.75" hidden="false" customHeight="true" outlineLevel="0" collapsed="false">
      <c r="A65" s="16" t="s">
        <v>843</v>
      </c>
      <c r="B65" s="16"/>
      <c r="C65" s="16"/>
      <c r="D65" s="16"/>
      <c r="E65" s="16"/>
      <c r="F65" s="16"/>
      <c r="G65" s="16"/>
    </row>
    <row r="66" customFormat="false" ht="24" hidden="false" customHeight="true" outlineLevel="0" collapsed="false">
      <c r="A66" s="3" t="s">
        <v>2</v>
      </c>
      <c r="B66" s="3" t="s">
        <v>844</v>
      </c>
      <c r="C66" s="3" t="s">
        <v>845</v>
      </c>
      <c r="D66" s="3" t="s">
        <v>846</v>
      </c>
      <c r="E66" s="3" t="s">
        <v>847</v>
      </c>
      <c r="F66" s="3" t="s">
        <v>848</v>
      </c>
      <c r="G66" s="3" t="s">
        <v>6</v>
      </c>
    </row>
    <row r="67" customFormat="false" ht="23.85" hidden="false" customHeight="false" outlineLevel="0" collapsed="false">
      <c r="A67" s="4" t="n">
        <v>1</v>
      </c>
      <c r="B67" s="4" t="s">
        <v>849</v>
      </c>
      <c r="C67" s="4" t="s">
        <v>174</v>
      </c>
      <c r="D67" s="4" t="n">
        <v>3</v>
      </c>
      <c r="E67" s="4" t="s">
        <v>19</v>
      </c>
      <c r="F67" s="4" t="s">
        <v>174</v>
      </c>
      <c r="G67" s="5" t="s">
        <v>13</v>
      </c>
    </row>
    <row r="68" customFormat="false" ht="23.85" hidden="false" customHeight="false" outlineLevel="0" collapsed="false">
      <c r="A68" s="4" t="n">
        <v>2</v>
      </c>
      <c r="B68" s="4" t="s">
        <v>850</v>
      </c>
      <c r="C68" s="4" t="s">
        <v>180</v>
      </c>
      <c r="D68" s="4" t="n">
        <v>2</v>
      </c>
      <c r="E68" s="4" t="s">
        <v>19</v>
      </c>
      <c r="F68" s="4" t="s">
        <v>180</v>
      </c>
      <c r="G68" s="5" t="s">
        <v>13</v>
      </c>
    </row>
    <row r="69" customFormat="false" ht="23.85" hidden="false" customHeight="false" outlineLevel="0" collapsed="false">
      <c r="A69" s="4" t="n">
        <v>3</v>
      </c>
      <c r="B69" s="4" t="s">
        <v>851</v>
      </c>
      <c r="C69" s="4" t="s">
        <v>852</v>
      </c>
      <c r="D69" s="4" t="n">
        <v>1</v>
      </c>
      <c r="E69" s="4" t="s">
        <v>19</v>
      </c>
      <c r="F69" s="4" t="s">
        <v>853</v>
      </c>
      <c r="G69" s="5" t="s">
        <v>13</v>
      </c>
    </row>
    <row r="70" customFormat="false" ht="23.85" hidden="false" customHeight="false" outlineLevel="0" collapsed="false">
      <c r="A70" s="4" t="n">
        <v>4</v>
      </c>
      <c r="B70" s="4" t="s">
        <v>854</v>
      </c>
      <c r="C70" s="4" t="s">
        <v>855</v>
      </c>
      <c r="D70" s="4" t="n">
        <v>1</v>
      </c>
      <c r="E70" s="4" t="s">
        <v>19</v>
      </c>
      <c r="F70" s="4" t="s">
        <v>799</v>
      </c>
      <c r="G70" s="5" t="s">
        <v>13</v>
      </c>
    </row>
    <row r="71" customFormat="false" ht="23.85" hidden="false" customHeight="false" outlineLevel="0" collapsed="false">
      <c r="A71" s="4" t="n">
        <v>5</v>
      </c>
      <c r="B71" s="4" t="s">
        <v>856</v>
      </c>
      <c r="C71" s="4" t="s">
        <v>778</v>
      </c>
      <c r="D71" s="4" t="n">
        <v>2</v>
      </c>
      <c r="E71" s="4" t="s">
        <v>19</v>
      </c>
      <c r="F71" s="4" t="s">
        <v>201</v>
      </c>
      <c r="G71" s="5" t="s">
        <v>13</v>
      </c>
    </row>
    <row r="72" customFormat="false" ht="23.85" hidden="false" customHeight="false" outlineLevel="0" collapsed="false">
      <c r="A72" s="4" t="n">
        <v>6</v>
      </c>
      <c r="B72" s="4" t="s">
        <v>857</v>
      </c>
      <c r="C72" s="4" t="s">
        <v>858</v>
      </c>
      <c r="D72" s="4" t="n">
        <v>1</v>
      </c>
      <c r="E72" s="4" t="s">
        <v>19</v>
      </c>
      <c r="F72" s="4" t="s">
        <v>174</v>
      </c>
      <c r="G72" s="5" t="s">
        <v>13</v>
      </c>
    </row>
    <row r="73" customFormat="false" ht="23.85" hidden="false" customHeight="false" outlineLevel="0" collapsed="false">
      <c r="A73" s="4" t="n">
        <v>7</v>
      </c>
      <c r="B73" s="4" t="s">
        <v>859</v>
      </c>
      <c r="C73" s="4" t="s">
        <v>201</v>
      </c>
      <c r="D73" s="4" t="n">
        <v>2</v>
      </c>
      <c r="E73" s="4" t="s">
        <v>205</v>
      </c>
      <c r="F73" s="4" t="s">
        <v>201</v>
      </c>
      <c r="G73" s="5" t="s">
        <v>13</v>
      </c>
    </row>
  </sheetData>
  <mergeCells count="4">
    <mergeCell ref="A1:G1"/>
    <mergeCell ref="A3:G3"/>
    <mergeCell ref="A57:G57"/>
    <mergeCell ref="A65:G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4" t="s">
        <v>860</v>
      </c>
      <c r="B1" s="14"/>
      <c r="C1" s="14"/>
      <c r="D1" s="14"/>
      <c r="E1" s="14"/>
      <c r="F1" s="14"/>
    </row>
    <row r="3" customFormat="false" ht="21.75" hidden="false" customHeight="true" outlineLevel="0" collapsed="false">
      <c r="A3" s="16" t="s">
        <v>861</v>
      </c>
      <c r="B3" s="16"/>
      <c r="C3" s="16"/>
      <c r="D3" s="16"/>
      <c r="E3" s="16"/>
      <c r="F3" s="16"/>
    </row>
    <row r="4" customFormat="false" ht="24" hidden="false" customHeight="true" outlineLevel="0" collapsed="false">
      <c r="A4" s="3" t="s">
        <v>862</v>
      </c>
      <c r="B4" s="3" t="s">
        <v>863</v>
      </c>
      <c r="C4" s="3" t="s">
        <v>7</v>
      </c>
      <c r="D4" s="3" t="s">
        <v>6</v>
      </c>
      <c r="E4" s="3" t="s">
        <v>864</v>
      </c>
      <c r="F4" s="3" t="s">
        <v>865</v>
      </c>
    </row>
    <row r="5" customFormat="false" ht="15" hidden="false" customHeight="false" outlineLevel="0" collapsed="false">
      <c r="A5" s="4" t="s">
        <v>866</v>
      </c>
      <c r="B5" s="4" t="s">
        <v>867</v>
      </c>
      <c r="C5" s="4" t="s">
        <v>52</v>
      </c>
      <c r="D5" s="5" t="s">
        <v>13</v>
      </c>
      <c r="E5" s="4"/>
      <c r="F5" s="4"/>
    </row>
    <row r="6" customFormat="false" ht="23.85" hidden="false" customHeight="false" outlineLevel="0" collapsed="false">
      <c r="A6" s="4" t="s">
        <v>755</v>
      </c>
      <c r="B6" s="4" t="s">
        <v>868</v>
      </c>
      <c r="C6" s="4" t="s">
        <v>658</v>
      </c>
      <c r="D6" s="5" t="s">
        <v>13</v>
      </c>
      <c r="E6" s="4"/>
      <c r="F6" s="4"/>
    </row>
    <row r="7" customFormat="false" ht="15" hidden="false" customHeight="false" outlineLevel="0" collapsed="false">
      <c r="A7" s="4" t="s">
        <v>869</v>
      </c>
      <c r="B7" s="4" t="s">
        <v>870</v>
      </c>
      <c r="C7" s="4" t="s">
        <v>174</v>
      </c>
      <c r="D7" s="5" t="s">
        <v>13</v>
      </c>
      <c r="E7" s="4"/>
      <c r="F7" s="4" t="s">
        <v>871</v>
      </c>
    </row>
    <row r="8" customFormat="false" ht="15" hidden="false" customHeight="false" outlineLevel="0" collapsed="false">
      <c r="A8" s="4" t="s">
        <v>869</v>
      </c>
      <c r="B8" s="4" t="s">
        <v>872</v>
      </c>
      <c r="C8" s="4" t="s">
        <v>658</v>
      </c>
      <c r="D8" s="5" t="s">
        <v>13</v>
      </c>
      <c r="E8" s="4"/>
      <c r="F8" s="4"/>
    </row>
    <row r="9" customFormat="false" ht="15" hidden="false" customHeight="false" outlineLevel="0" collapsed="false">
      <c r="A9" s="4" t="s">
        <v>873</v>
      </c>
      <c r="B9" s="4" t="s">
        <v>874</v>
      </c>
      <c r="C9" s="4" t="s">
        <v>875</v>
      </c>
      <c r="D9" s="5" t="s">
        <v>13</v>
      </c>
      <c r="E9" s="4"/>
      <c r="F9" s="4"/>
    </row>
    <row r="10" customFormat="false" ht="15" hidden="false" customHeight="false" outlineLevel="0" collapsed="false">
      <c r="A10" s="4" t="s">
        <v>873</v>
      </c>
      <c r="B10" s="4" t="s">
        <v>876</v>
      </c>
      <c r="C10" s="4" t="s">
        <v>877</v>
      </c>
      <c r="D10" s="5" t="s">
        <v>13</v>
      </c>
      <c r="E10" s="4"/>
      <c r="F10" s="4" t="s">
        <v>878</v>
      </c>
    </row>
    <row r="11" customFormat="false" ht="15" hidden="false" customHeight="false" outlineLevel="0" collapsed="false">
      <c r="A11" s="4" t="s">
        <v>827</v>
      </c>
      <c r="B11" s="4" t="s">
        <v>879</v>
      </c>
      <c r="C11" s="4" t="s">
        <v>58</v>
      </c>
      <c r="D11" s="5" t="s">
        <v>13</v>
      </c>
      <c r="E11" s="4"/>
      <c r="F11" s="4"/>
    </row>
    <row r="12" customFormat="false" ht="15" hidden="false" customHeight="false" outlineLevel="0" collapsed="false">
      <c r="A12" s="4" t="s">
        <v>827</v>
      </c>
      <c r="B12" s="4" t="s">
        <v>880</v>
      </c>
      <c r="C12" s="4" t="s">
        <v>877</v>
      </c>
      <c r="D12" s="5" t="s">
        <v>13</v>
      </c>
      <c r="E12" s="4"/>
      <c r="F12" s="4"/>
    </row>
    <row r="13" customFormat="false" ht="15" hidden="false" customHeight="false" outlineLevel="0" collapsed="false">
      <c r="A13" s="4" t="s">
        <v>881</v>
      </c>
      <c r="B13" s="4" t="s">
        <v>882</v>
      </c>
      <c r="C13" s="4" t="s">
        <v>64</v>
      </c>
      <c r="D13" s="5" t="s">
        <v>13</v>
      </c>
      <c r="E13" s="4"/>
      <c r="F13" s="4" t="s">
        <v>883</v>
      </c>
    </row>
    <row r="14" customFormat="false" ht="15" hidden="false" customHeight="false" outlineLevel="0" collapsed="false">
      <c r="A14" s="4" t="s">
        <v>881</v>
      </c>
      <c r="B14" s="4" t="s">
        <v>884</v>
      </c>
      <c r="C14" s="4" t="s">
        <v>877</v>
      </c>
      <c r="D14" s="5" t="s">
        <v>13</v>
      </c>
      <c r="E14" s="4"/>
      <c r="F14" s="4"/>
    </row>
    <row r="15" customFormat="false" ht="15" hidden="false" customHeight="false" outlineLevel="0" collapsed="false">
      <c r="A15" s="4" t="s">
        <v>885</v>
      </c>
      <c r="B15" s="4" t="s">
        <v>886</v>
      </c>
      <c r="C15" s="4" t="s">
        <v>46</v>
      </c>
      <c r="D15" s="5" t="s">
        <v>13</v>
      </c>
      <c r="E15" s="4"/>
      <c r="F15" s="4"/>
    </row>
    <row r="16" customFormat="false" ht="15" hidden="false" customHeight="false" outlineLevel="0" collapsed="false">
      <c r="A16" s="4" t="s">
        <v>885</v>
      </c>
      <c r="B16" s="4" t="s">
        <v>887</v>
      </c>
      <c r="C16" s="4" t="s">
        <v>174</v>
      </c>
      <c r="D16" s="5" t="s">
        <v>13</v>
      </c>
      <c r="E16" s="4"/>
      <c r="F16" s="4" t="s">
        <v>888</v>
      </c>
    </row>
    <row r="17" customFormat="false" ht="15" hidden="false" customHeight="false" outlineLevel="0" collapsed="false">
      <c r="A17" s="4" t="s">
        <v>889</v>
      </c>
      <c r="B17" s="4" t="s">
        <v>890</v>
      </c>
      <c r="C17" s="4" t="s">
        <v>46</v>
      </c>
      <c r="D17" s="5" t="s">
        <v>13</v>
      </c>
      <c r="E17" s="4"/>
      <c r="F17" s="4" t="s">
        <v>891</v>
      </c>
    </row>
    <row r="18" customFormat="false" ht="15" hidden="false" customHeight="false" outlineLevel="0" collapsed="false">
      <c r="A18" s="4" t="s">
        <v>892</v>
      </c>
      <c r="B18" s="4" t="s">
        <v>893</v>
      </c>
      <c r="C18" s="4" t="s">
        <v>877</v>
      </c>
      <c r="D18" s="5" t="s">
        <v>13</v>
      </c>
      <c r="E18" s="4"/>
      <c r="F18" s="4"/>
    </row>
    <row r="19" customFormat="false" ht="15" hidden="false" customHeight="false" outlineLevel="0" collapsed="false">
      <c r="A19" s="4" t="s">
        <v>894</v>
      </c>
      <c r="B19" s="4" t="s">
        <v>895</v>
      </c>
      <c r="C19" s="4" t="s">
        <v>877</v>
      </c>
      <c r="D19" s="5" t="s">
        <v>13</v>
      </c>
      <c r="E19" s="4"/>
      <c r="F19" s="4"/>
    </row>
    <row r="22" customFormat="false" ht="21.75" hidden="false" customHeight="true" outlineLevel="0" collapsed="false">
      <c r="A22" s="16" t="s">
        <v>896</v>
      </c>
      <c r="B22" s="16"/>
      <c r="C22" s="16"/>
      <c r="D22" s="16"/>
      <c r="E22" s="16"/>
      <c r="F22" s="16"/>
    </row>
    <row r="23" customFormat="false" ht="24" hidden="false" customHeight="true" outlineLevel="0" collapsed="false">
      <c r="A23" s="3" t="s">
        <v>897</v>
      </c>
      <c r="B23" s="3" t="s">
        <v>898</v>
      </c>
      <c r="C23" s="3" t="s">
        <v>899</v>
      </c>
      <c r="D23" s="3" t="s">
        <v>7</v>
      </c>
      <c r="E23" s="3" t="s">
        <v>6</v>
      </c>
      <c r="F23" s="3" t="s">
        <v>865</v>
      </c>
    </row>
    <row r="24" customFormat="false" ht="23.85" hidden="false" customHeight="false" outlineLevel="0" collapsed="false">
      <c r="A24" s="4" t="s">
        <v>900</v>
      </c>
      <c r="B24" s="4" t="s">
        <v>901</v>
      </c>
      <c r="C24" s="4" t="s">
        <v>902</v>
      </c>
      <c r="D24" s="4" t="s">
        <v>658</v>
      </c>
      <c r="E24" s="5" t="s">
        <v>13</v>
      </c>
      <c r="F24" s="4" t="s">
        <v>903</v>
      </c>
    </row>
    <row r="25" customFormat="false" ht="23.85" hidden="false" customHeight="false" outlineLevel="0" collapsed="false">
      <c r="A25" s="4" t="s">
        <v>904</v>
      </c>
      <c r="B25" s="4" t="s">
        <v>905</v>
      </c>
      <c r="C25" s="4" t="s">
        <v>906</v>
      </c>
      <c r="D25" s="4" t="s">
        <v>658</v>
      </c>
      <c r="E25" s="5" t="s">
        <v>13</v>
      </c>
      <c r="F25" s="4" t="s">
        <v>907</v>
      </c>
    </row>
    <row r="26" customFormat="false" ht="23.85" hidden="false" customHeight="false" outlineLevel="0" collapsed="false">
      <c r="A26" s="4" t="s">
        <v>908</v>
      </c>
      <c r="B26" s="4" t="s">
        <v>909</v>
      </c>
      <c r="C26" s="4" t="s">
        <v>910</v>
      </c>
      <c r="D26" s="4" t="s">
        <v>875</v>
      </c>
      <c r="E26" s="5" t="s">
        <v>13</v>
      </c>
      <c r="F26" s="4" t="s">
        <v>911</v>
      </c>
    </row>
    <row r="27" customFormat="false" ht="23.85" hidden="false" customHeight="false" outlineLevel="0" collapsed="false">
      <c r="A27" s="4" t="s">
        <v>912</v>
      </c>
      <c r="B27" s="4" t="s">
        <v>913</v>
      </c>
      <c r="C27" s="4" t="s">
        <v>914</v>
      </c>
      <c r="D27" s="4" t="s">
        <v>174</v>
      </c>
      <c r="E27" s="5" t="s">
        <v>13</v>
      </c>
      <c r="F27" s="4" t="s">
        <v>915</v>
      </c>
    </row>
    <row r="28" customFormat="false" ht="35.05" hidden="false" customHeight="false" outlineLevel="0" collapsed="false">
      <c r="A28" s="4" t="s">
        <v>916</v>
      </c>
      <c r="B28" s="4" t="s">
        <v>905</v>
      </c>
      <c r="C28" s="4" t="s">
        <v>917</v>
      </c>
      <c r="D28" s="4" t="s">
        <v>658</v>
      </c>
      <c r="E28" s="5" t="s">
        <v>13</v>
      </c>
      <c r="F28" s="4" t="s">
        <v>918</v>
      </c>
    </row>
    <row r="29" customFormat="false" ht="23.85" hidden="false" customHeight="false" outlineLevel="0" collapsed="false">
      <c r="A29" s="4" t="s">
        <v>919</v>
      </c>
      <c r="B29" s="4" t="s">
        <v>920</v>
      </c>
      <c r="C29" s="4" t="s">
        <v>921</v>
      </c>
      <c r="D29" s="4" t="s">
        <v>58</v>
      </c>
      <c r="E29" s="5" t="s">
        <v>13</v>
      </c>
      <c r="F29" s="4"/>
    </row>
    <row r="31" customFormat="false" ht="21.75" hidden="false" customHeight="true" outlineLevel="0" collapsed="false">
      <c r="A31" s="16" t="s">
        <v>922</v>
      </c>
      <c r="B31" s="16"/>
      <c r="C31" s="16"/>
      <c r="D31" s="16"/>
      <c r="E31" s="16"/>
      <c r="F31" s="16"/>
    </row>
    <row r="32" customFormat="false" ht="24" hidden="false" customHeight="true" outlineLevel="0" collapsed="false">
      <c r="A32" s="3" t="s">
        <v>923</v>
      </c>
      <c r="B32" s="3" t="s">
        <v>210</v>
      </c>
      <c r="C32" s="3" t="s">
        <v>924</v>
      </c>
      <c r="D32" s="3" t="s">
        <v>7</v>
      </c>
      <c r="E32" s="3" t="s">
        <v>6</v>
      </c>
      <c r="F32" s="3" t="s">
        <v>925</v>
      </c>
    </row>
    <row r="33" customFormat="false" ht="15" hidden="false" customHeight="false" outlineLevel="0" collapsed="false">
      <c r="A33" s="4" t="s">
        <v>926</v>
      </c>
      <c r="B33" s="4" t="s">
        <v>927</v>
      </c>
      <c r="C33" s="4" t="s">
        <v>204</v>
      </c>
      <c r="D33" s="4" t="s">
        <v>46</v>
      </c>
      <c r="E33" s="5" t="s">
        <v>13</v>
      </c>
      <c r="F33" s="4" t="s">
        <v>928</v>
      </c>
    </row>
    <row r="34" customFormat="false" ht="15" hidden="false" customHeight="false" outlineLevel="0" collapsed="false">
      <c r="A34" s="4" t="s">
        <v>926</v>
      </c>
      <c r="B34" s="4" t="s">
        <v>929</v>
      </c>
      <c r="C34" s="4" t="s">
        <v>204</v>
      </c>
      <c r="D34" s="4" t="s">
        <v>877</v>
      </c>
      <c r="E34" s="5" t="s">
        <v>13</v>
      </c>
      <c r="F34" s="4" t="s">
        <v>930</v>
      </c>
    </row>
    <row r="35" customFormat="false" ht="15" hidden="false" customHeight="false" outlineLevel="0" collapsed="false">
      <c r="A35" s="4" t="s">
        <v>931</v>
      </c>
      <c r="B35" s="4" t="s">
        <v>932</v>
      </c>
      <c r="C35" s="4" t="s">
        <v>240</v>
      </c>
      <c r="D35" s="4" t="s">
        <v>877</v>
      </c>
      <c r="E35" s="5" t="s">
        <v>13</v>
      </c>
      <c r="F35" s="4" t="s">
        <v>933</v>
      </c>
    </row>
    <row r="36" customFormat="false" ht="15" hidden="false" customHeight="false" outlineLevel="0" collapsed="false">
      <c r="A36" s="4" t="s">
        <v>931</v>
      </c>
      <c r="B36" s="4" t="s">
        <v>934</v>
      </c>
      <c r="C36" s="4" t="s">
        <v>935</v>
      </c>
      <c r="D36" s="4" t="s">
        <v>936</v>
      </c>
      <c r="E36" s="5" t="s">
        <v>13</v>
      </c>
      <c r="F36" s="4" t="s">
        <v>937</v>
      </c>
    </row>
    <row r="37" customFormat="false" ht="15" hidden="false" customHeight="false" outlineLevel="0" collapsed="false">
      <c r="A37" s="4" t="s">
        <v>938</v>
      </c>
      <c r="B37" s="4" t="s">
        <v>939</v>
      </c>
      <c r="C37" s="4" t="s">
        <v>935</v>
      </c>
      <c r="D37" s="4" t="s">
        <v>64</v>
      </c>
      <c r="E37" s="5" t="s">
        <v>13</v>
      </c>
      <c r="F37" s="4" t="s">
        <v>940</v>
      </c>
    </row>
    <row r="38" customFormat="false" ht="15" hidden="false" customHeight="false" outlineLevel="0" collapsed="false">
      <c r="A38" s="4" t="s">
        <v>938</v>
      </c>
      <c r="B38" s="4" t="s">
        <v>941</v>
      </c>
      <c r="C38" s="4" t="s">
        <v>942</v>
      </c>
      <c r="D38" s="4" t="s">
        <v>658</v>
      </c>
      <c r="E38" s="5" t="s">
        <v>13</v>
      </c>
      <c r="F38" s="4" t="s">
        <v>943</v>
      </c>
    </row>
    <row r="39" customFormat="false" ht="15" hidden="false" customHeight="false" outlineLevel="0" collapsed="false">
      <c r="A39" s="4" t="s">
        <v>944</v>
      </c>
      <c r="B39" s="4" t="s">
        <v>945</v>
      </c>
      <c r="C39" s="4" t="s">
        <v>935</v>
      </c>
      <c r="D39" s="4" t="s">
        <v>877</v>
      </c>
      <c r="E39" s="5" t="s">
        <v>13</v>
      </c>
      <c r="F39" s="4" t="s">
        <v>946</v>
      </c>
    </row>
    <row r="40" customFormat="false" ht="15" hidden="false" customHeight="false" outlineLevel="0" collapsed="false">
      <c r="A40" s="4" t="s">
        <v>944</v>
      </c>
      <c r="B40" s="4" t="s">
        <v>947</v>
      </c>
      <c r="C40" s="4" t="s">
        <v>935</v>
      </c>
      <c r="D40" s="4" t="s">
        <v>64</v>
      </c>
      <c r="E40" s="5" t="s">
        <v>13</v>
      </c>
      <c r="F40" s="4"/>
    </row>
  </sheetData>
  <mergeCells count="4">
    <mergeCell ref="A1:F1"/>
    <mergeCell ref="A3:F3"/>
    <mergeCell ref="A22:F22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4" t="s">
        <v>948</v>
      </c>
      <c r="B1" s="14"/>
      <c r="C1" s="14"/>
      <c r="D1" s="14"/>
      <c r="E1" s="14"/>
      <c r="F1" s="14"/>
      <c r="G1" s="14"/>
    </row>
    <row r="3" customFormat="false" ht="21.75" hidden="false" customHeight="true" outlineLevel="0" collapsed="false">
      <c r="A3" s="16" t="s">
        <v>949</v>
      </c>
      <c r="B3" s="16"/>
      <c r="C3" s="16"/>
      <c r="D3" s="16"/>
      <c r="E3" s="16"/>
      <c r="F3" s="16"/>
      <c r="G3" s="16"/>
    </row>
    <row r="4" customFormat="false" ht="24" hidden="false" customHeight="true" outlineLevel="0" collapsed="false">
      <c r="A4" s="3" t="s">
        <v>2</v>
      </c>
      <c r="B4" s="3" t="s">
        <v>349</v>
      </c>
      <c r="C4" s="3" t="s">
        <v>321</v>
      </c>
      <c r="D4" s="3" t="s">
        <v>350</v>
      </c>
      <c r="E4" s="3" t="s">
        <v>950</v>
      </c>
      <c r="F4" s="3" t="s">
        <v>951</v>
      </c>
      <c r="G4" s="3" t="s">
        <v>952</v>
      </c>
    </row>
    <row r="5" customFormat="false" ht="15" hidden="false" customHeight="false" outlineLevel="0" collapsed="false">
      <c r="A5" s="4" t="n">
        <v>1</v>
      </c>
      <c r="B5" s="4" t="s">
        <v>953</v>
      </c>
      <c r="C5" s="4" t="s">
        <v>158</v>
      </c>
      <c r="D5" s="4" t="s">
        <v>954</v>
      </c>
      <c r="E5" s="4" t="s">
        <v>158</v>
      </c>
      <c r="F5" s="4" t="s">
        <v>158</v>
      </c>
      <c r="G5" s="4" t="s">
        <v>158</v>
      </c>
    </row>
    <row r="6" customFormat="false" ht="15" hidden="false" customHeight="false" outlineLevel="0" collapsed="false">
      <c r="A6" s="4" t="n">
        <v>2</v>
      </c>
      <c r="B6" s="4" t="s">
        <v>955</v>
      </c>
      <c r="C6" s="4" t="s">
        <v>158</v>
      </c>
      <c r="D6" s="4" t="s">
        <v>956</v>
      </c>
      <c r="E6" s="4" t="s">
        <v>158</v>
      </c>
      <c r="F6" s="4" t="s">
        <v>158</v>
      </c>
      <c r="G6" s="4" t="s">
        <v>158</v>
      </c>
    </row>
    <row r="7" customFormat="false" ht="15" hidden="false" customHeight="false" outlineLevel="0" collapsed="false">
      <c r="A7" s="4" t="n">
        <v>3</v>
      </c>
      <c r="B7" s="4" t="s">
        <v>957</v>
      </c>
      <c r="C7" s="4" t="s">
        <v>357</v>
      </c>
      <c r="D7" s="4" t="s">
        <v>958</v>
      </c>
      <c r="E7" s="4" t="s">
        <v>158</v>
      </c>
      <c r="F7" s="4" t="s">
        <v>158</v>
      </c>
      <c r="G7" s="4" t="s">
        <v>158</v>
      </c>
    </row>
    <row r="8" customFormat="false" ht="15" hidden="false" customHeight="false" outlineLevel="0" collapsed="false">
      <c r="A8" s="4" t="n">
        <v>4</v>
      </c>
      <c r="B8" s="4" t="s">
        <v>959</v>
      </c>
      <c r="C8" s="4" t="s">
        <v>158</v>
      </c>
      <c r="D8" s="4" t="s">
        <v>960</v>
      </c>
      <c r="E8" s="4" t="s">
        <v>158</v>
      </c>
      <c r="F8" s="4" t="s">
        <v>158</v>
      </c>
      <c r="G8" s="4" t="s">
        <v>158</v>
      </c>
    </row>
    <row r="9" customFormat="false" ht="15" hidden="false" customHeight="false" outlineLevel="0" collapsed="false">
      <c r="A9" s="4" t="n">
        <v>5</v>
      </c>
      <c r="B9" s="4" t="s">
        <v>961</v>
      </c>
      <c r="C9" s="4" t="s">
        <v>158</v>
      </c>
      <c r="D9" s="4" t="s">
        <v>962</v>
      </c>
      <c r="E9" s="4" t="s">
        <v>158</v>
      </c>
      <c r="F9" s="4" t="s">
        <v>158</v>
      </c>
      <c r="G9" s="4" t="s">
        <v>158</v>
      </c>
    </row>
    <row r="10" customFormat="false" ht="15" hidden="false" customHeight="false" outlineLevel="0" collapsed="false">
      <c r="A10" s="4" t="n">
        <v>6</v>
      </c>
      <c r="B10" s="4" t="s">
        <v>963</v>
      </c>
      <c r="C10" s="4" t="s">
        <v>366</v>
      </c>
      <c r="D10" s="4" t="s">
        <v>964</v>
      </c>
      <c r="E10" s="4" t="s">
        <v>158</v>
      </c>
      <c r="F10" s="4" t="s">
        <v>158</v>
      </c>
      <c r="G10" s="4" t="s">
        <v>158</v>
      </c>
    </row>
    <row r="11" customFormat="false" ht="15" hidden="false" customHeight="false" outlineLevel="0" collapsed="false">
      <c r="A11" s="4" t="n">
        <v>7</v>
      </c>
      <c r="B11" s="4" t="s">
        <v>965</v>
      </c>
      <c r="C11" s="4" t="s">
        <v>158</v>
      </c>
      <c r="D11" s="4" t="s">
        <v>966</v>
      </c>
      <c r="E11" s="4" t="s">
        <v>158</v>
      </c>
      <c r="F11" s="4" t="s">
        <v>158</v>
      </c>
      <c r="G11" s="4" t="s">
        <v>158</v>
      </c>
    </row>
    <row r="12" customFormat="false" ht="15" hidden="false" customHeight="false" outlineLevel="0" collapsed="false">
      <c r="A12" s="4" t="n">
        <v>8</v>
      </c>
      <c r="B12" s="4" t="s">
        <v>967</v>
      </c>
      <c r="C12" s="4" t="s">
        <v>366</v>
      </c>
      <c r="D12" s="4" t="s">
        <v>968</v>
      </c>
      <c r="E12" s="4" t="s">
        <v>158</v>
      </c>
      <c r="F12" s="4" t="s">
        <v>158</v>
      </c>
      <c r="G12" s="4" t="s">
        <v>158</v>
      </c>
    </row>
    <row r="15" customFormat="false" ht="21.75" hidden="false" customHeight="true" outlineLevel="0" collapsed="false">
      <c r="A15" s="16" t="s">
        <v>969</v>
      </c>
      <c r="B15" s="16"/>
      <c r="C15" s="16"/>
      <c r="D15" s="16"/>
      <c r="E15" s="16"/>
      <c r="F15" s="16"/>
      <c r="G15" s="16"/>
    </row>
    <row r="16" customFormat="false" ht="24" hidden="false" customHeight="true" outlineLevel="0" collapsed="false">
      <c r="A16" s="3" t="s">
        <v>2</v>
      </c>
      <c r="B16" s="3" t="s">
        <v>970</v>
      </c>
      <c r="C16" s="3" t="s">
        <v>971</v>
      </c>
      <c r="D16" s="3" t="s">
        <v>972</v>
      </c>
      <c r="E16" s="3" t="s">
        <v>973</v>
      </c>
      <c r="F16" s="3" t="s">
        <v>7</v>
      </c>
      <c r="G16" s="3" t="s">
        <v>6</v>
      </c>
    </row>
    <row r="17" customFormat="false" ht="15" hidden="false" customHeight="false" outlineLevel="0" collapsed="false">
      <c r="A17" s="4" t="s">
        <v>974</v>
      </c>
      <c r="B17" s="4"/>
      <c r="C17" s="4"/>
      <c r="D17" s="4"/>
      <c r="E17" s="4"/>
      <c r="F17" s="4"/>
      <c r="G17" s="4"/>
    </row>
    <row r="18" customFormat="false" ht="15" hidden="false" customHeight="false" outlineLevel="0" collapsed="false">
      <c r="A18" s="4" t="s">
        <v>975</v>
      </c>
      <c r="B18" s="4"/>
      <c r="C18" s="4"/>
      <c r="D18" s="4"/>
      <c r="E18" s="4"/>
      <c r="F18" s="4"/>
      <c r="G18" s="4"/>
    </row>
    <row r="19" customFormat="false" ht="15" hidden="false" customHeight="false" outlineLevel="0" collapsed="false">
      <c r="A19" s="4" t="s">
        <v>976</v>
      </c>
      <c r="B19" s="4"/>
      <c r="C19" s="4"/>
      <c r="D19" s="4"/>
      <c r="E19" s="4"/>
      <c r="F19" s="4"/>
      <c r="G19" s="4"/>
    </row>
    <row r="20" customFormat="false" ht="15" hidden="false" customHeight="false" outlineLevel="0" collapsed="false">
      <c r="A20" s="4" t="s">
        <v>977</v>
      </c>
      <c r="B20" s="4"/>
      <c r="C20" s="4"/>
      <c r="D20" s="4"/>
      <c r="E20" s="4"/>
      <c r="F20" s="4"/>
      <c r="G20" s="4"/>
    </row>
    <row r="21" customFormat="false" ht="15" hidden="false" customHeight="false" outlineLevel="0" collapsed="false">
      <c r="A21" s="4" t="s">
        <v>978</v>
      </c>
      <c r="B21" s="4"/>
      <c r="C21" s="4"/>
      <c r="D21" s="4"/>
      <c r="E21" s="4"/>
      <c r="F21" s="4"/>
      <c r="G21" s="4"/>
    </row>
    <row r="22" customFormat="false" ht="15" hidden="false" customHeight="false" outlineLevel="0" collapsed="false">
      <c r="A22" s="4" t="s">
        <v>979</v>
      </c>
      <c r="B22" s="4"/>
      <c r="C22" s="4"/>
      <c r="D22" s="4"/>
      <c r="E22" s="4"/>
      <c r="F22" s="4"/>
      <c r="G22" s="4"/>
    </row>
    <row r="23" customFormat="false" ht="15" hidden="false" customHeight="false" outlineLevel="0" collapsed="false">
      <c r="A23" s="4" t="s">
        <v>980</v>
      </c>
      <c r="B23" s="4"/>
      <c r="C23" s="4"/>
      <c r="D23" s="4"/>
      <c r="E23" s="4"/>
      <c r="F23" s="4"/>
      <c r="G23" s="4"/>
    </row>
    <row r="24" customFormat="false" ht="15" hidden="false" customHeight="false" outlineLevel="0" collapsed="false">
      <c r="A24" s="4" t="s">
        <v>981</v>
      </c>
      <c r="B24" s="4"/>
      <c r="C24" s="4"/>
      <c r="D24" s="4"/>
      <c r="E24" s="4"/>
      <c r="F24" s="4"/>
      <c r="G24" s="4"/>
    </row>
    <row r="25" customFormat="false" ht="15" hidden="false" customHeight="false" outlineLevel="0" collapsed="false">
      <c r="A25" s="4" t="s">
        <v>982</v>
      </c>
      <c r="B25" s="4"/>
      <c r="C25" s="4"/>
      <c r="D25" s="4"/>
      <c r="E25" s="4"/>
      <c r="F25" s="4"/>
      <c r="G25" s="4"/>
    </row>
    <row r="26" customFormat="false" ht="15" hidden="false" customHeight="false" outlineLevel="0" collapsed="false">
      <c r="A26" s="4" t="s">
        <v>983</v>
      </c>
      <c r="B26" s="4"/>
      <c r="C26" s="4"/>
      <c r="D26" s="4"/>
      <c r="E26" s="4"/>
      <c r="F26" s="4"/>
      <c r="G26" s="4"/>
    </row>
    <row r="29" customFormat="false" ht="21.75" hidden="false" customHeight="true" outlineLevel="0" collapsed="false">
      <c r="A29" s="16" t="s">
        <v>984</v>
      </c>
      <c r="B29" s="16"/>
      <c r="C29" s="16"/>
      <c r="D29" s="16"/>
      <c r="E29" s="16"/>
      <c r="F29" s="16"/>
      <c r="G29" s="16"/>
    </row>
    <row r="30" customFormat="false" ht="24" hidden="false" customHeight="true" outlineLevel="0" collapsed="false">
      <c r="A30" s="3" t="s">
        <v>2</v>
      </c>
      <c r="B30" s="3" t="s">
        <v>985</v>
      </c>
      <c r="C30" s="3" t="s">
        <v>7</v>
      </c>
      <c r="D30" s="3" t="s">
        <v>8</v>
      </c>
      <c r="E30" s="3" t="s">
        <v>6</v>
      </c>
      <c r="F30" s="3" t="s">
        <v>986</v>
      </c>
      <c r="G30" s="3" t="s">
        <v>865</v>
      </c>
    </row>
    <row r="31" customFormat="false" ht="15" hidden="false" customHeight="false" outlineLevel="0" collapsed="false">
      <c r="A31" s="4" t="n">
        <v>1</v>
      </c>
      <c r="B31" s="4" t="s">
        <v>987</v>
      </c>
      <c r="C31" s="4" t="s">
        <v>877</v>
      </c>
      <c r="D31" s="4" t="s">
        <v>950</v>
      </c>
      <c r="E31" s="5" t="s">
        <v>13</v>
      </c>
      <c r="F31" s="4"/>
      <c r="G31" s="4"/>
    </row>
    <row r="32" customFormat="false" ht="15" hidden="false" customHeight="false" outlineLevel="0" collapsed="false">
      <c r="A32" s="4" t="n">
        <v>2</v>
      </c>
      <c r="B32" s="4" t="s">
        <v>988</v>
      </c>
      <c r="C32" s="4" t="s">
        <v>64</v>
      </c>
      <c r="D32" s="4" t="s">
        <v>950</v>
      </c>
      <c r="E32" s="5" t="s">
        <v>13</v>
      </c>
      <c r="F32" s="4"/>
      <c r="G32" s="4"/>
    </row>
    <row r="33" customFormat="false" ht="23.85" hidden="false" customHeight="false" outlineLevel="0" collapsed="false">
      <c r="A33" s="4" t="n">
        <v>3</v>
      </c>
      <c r="B33" s="4" t="s">
        <v>989</v>
      </c>
      <c r="C33" s="4" t="s">
        <v>40</v>
      </c>
      <c r="D33" s="4" t="s">
        <v>950</v>
      </c>
      <c r="E33" s="5" t="s">
        <v>13</v>
      </c>
      <c r="F33" s="4"/>
      <c r="G33" s="4"/>
    </row>
    <row r="34" customFormat="false" ht="15" hidden="false" customHeight="false" outlineLevel="0" collapsed="false">
      <c r="A34" s="4" t="n">
        <v>4</v>
      </c>
      <c r="B34" s="4" t="s">
        <v>990</v>
      </c>
      <c r="C34" s="4" t="s">
        <v>877</v>
      </c>
      <c r="D34" s="4" t="s">
        <v>950</v>
      </c>
      <c r="E34" s="5" t="s">
        <v>13</v>
      </c>
      <c r="F34" s="4"/>
      <c r="G34" s="4"/>
    </row>
    <row r="35" customFormat="false" ht="15" hidden="false" customHeight="false" outlineLevel="0" collapsed="false">
      <c r="A35" s="4" t="n">
        <v>5</v>
      </c>
      <c r="B35" s="4" t="s">
        <v>991</v>
      </c>
      <c r="C35" s="4" t="s">
        <v>877</v>
      </c>
      <c r="D35" s="4" t="s">
        <v>992</v>
      </c>
      <c r="E35" s="5" t="s">
        <v>13</v>
      </c>
      <c r="F35" s="4"/>
      <c r="G35" s="4"/>
    </row>
    <row r="36" customFormat="false" ht="15" hidden="false" customHeight="false" outlineLevel="0" collapsed="false">
      <c r="A36" s="4" t="n">
        <v>6</v>
      </c>
      <c r="B36" s="4" t="s">
        <v>993</v>
      </c>
      <c r="C36" s="4" t="s">
        <v>877</v>
      </c>
      <c r="D36" s="4" t="s">
        <v>992</v>
      </c>
      <c r="E36" s="5" t="s">
        <v>13</v>
      </c>
      <c r="F36" s="4"/>
      <c r="G36" s="4"/>
    </row>
    <row r="37" customFormat="false" ht="23.85" hidden="false" customHeight="false" outlineLevel="0" collapsed="false">
      <c r="A37" s="4" t="n">
        <v>7</v>
      </c>
      <c r="B37" s="4" t="s">
        <v>994</v>
      </c>
      <c r="C37" s="4" t="s">
        <v>877</v>
      </c>
      <c r="D37" s="4" t="s">
        <v>950</v>
      </c>
      <c r="E37" s="5" t="s">
        <v>13</v>
      </c>
      <c r="F37" s="4"/>
      <c r="G37" s="4" t="s">
        <v>995</v>
      </c>
    </row>
    <row r="38" customFormat="false" ht="23.85" hidden="false" customHeight="false" outlineLevel="0" collapsed="false">
      <c r="A38" s="4" t="n">
        <v>8</v>
      </c>
      <c r="B38" s="4" t="s">
        <v>996</v>
      </c>
      <c r="C38" s="4" t="s">
        <v>997</v>
      </c>
      <c r="D38" s="4" t="s">
        <v>998</v>
      </c>
      <c r="E38" s="5" t="s">
        <v>13</v>
      </c>
      <c r="F38" s="4"/>
      <c r="G38" s="4" t="s">
        <v>999</v>
      </c>
    </row>
    <row r="39" customFormat="false" ht="15" hidden="false" customHeight="false" outlineLevel="0" collapsed="false">
      <c r="A39" s="4" t="n">
        <v>9</v>
      </c>
      <c r="B39" s="4" t="s">
        <v>1000</v>
      </c>
      <c r="C39" s="4" t="s">
        <v>877</v>
      </c>
      <c r="D39" s="4" t="s">
        <v>952</v>
      </c>
      <c r="E39" s="5" t="s">
        <v>13</v>
      </c>
      <c r="F39" s="4"/>
      <c r="G39" s="4" t="s">
        <v>1001</v>
      </c>
    </row>
    <row r="40" customFormat="false" ht="15" hidden="false" customHeight="false" outlineLevel="0" collapsed="false">
      <c r="A40" s="4" t="n">
        <v>10</v>
      </c>
      <c r="B40" s="4" t="s">
        <v>1002</v>
      </c>
      <c r="C40" s="4" t="s">
        <v>877</v>
      </c>
      <c r="D40" s="4" t="s">
        <v>951</v>
      </c>
      <c r="E40" s="5" t="s">
        <v>13</v>
      </c>
      <c r="F40" s="4"/>
      <c r="G40" s="4"/>
    </row>
    <row r="41" customFormat="false" ht="15" hidden="false" customHeight="false" outlineLevel="0" collapsed="false">
      <c r="A41" s="4" t="n">
        <v>11</v>
      </c>
      <c r="B41" s="4" t="s">
        <v>1003</v>
      </c>
      <c r="C41" s="4" t="s">
        <v>877</v>
      </c>
      <c r="D41" s="4" t="s">
        <v>952</v>
      </c>
      <c r="E41" s="5" t="s">
        <v>13</v>
      </c>
      <c r="F41" s="4"/>
      <c r="G41" s="4"/>
    </row>
  </sheetData>
  <mergeCells count="4">
    <mergeCell ref="A1:G1"/>
    <mergeCell ref="A3:G3"/>
    <mergeCell ref="A15:G15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2026-05-14T05:47:59Z</dcterms:created>
  <dc:creator>openpyxl</dc:creator>
  <dc:description/>
  <dc:language>en-US</dc:language>
  <cp:lastModifiedBy/>
  <dcterms:modified xsi:type="dcterms:W3CDTF">2026-05-14T05:47:59Z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