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shboard" sheetId="1" state="visible" r:id="rId3"/>
    <sheet name="2. Tasks" sheetId="2" state="visible" r:id="rId4"/>
    <sheet name="3. Sprints" sheetId="3" state="visible" r:id="rId5"/>
    <sheet name="4. Bugs" sheetId="4" state="visible" r:id="rId6"/>
    <sheet name="5. Risks" sheetId="5" state="visible" r:id="rId7"/>
    <sheet name="6. Decisions" sheetId="6" state="visible" r:id="rId8"/>
    <sheet name="7. Integrations" sheetId="7" state="visible" r:id="rId9"/>
    <sheet name="8. Timeline" sheetId="8" state="visible" r:id="rId10"/>
    <sheet name="9. Referen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<sst xmlns="http://schemas.openxmlformats.org/spreadsheetml/2006/main" count="1555" uniqueCount="858">
  <si>
    <t xml:space="preserve">NP App HH - Project Dashboard</t>
  </si>
  <si>
    <t xml:space="preserve">PROJECT OVERVIEW</t>
  </si>
  <si>
    <t xml:space="preserve">Project name</t>
  </si>
  <si>
    <t xml:space="preserve">NP App HH (Phòng khám Nguyên Phương)</t>
  </si>
  <si>
    <t xml:space="preserve">Sprint hiện tại</t>
  </si>
  <si>
    <t xml:space="preserve">(điền sau khi start)</t>
  </si>
  <si>
    <t xml:space="preserve">Period</t>
  </si>
  <si>
    <t xml:space="preserve">Estimated end date</t>
  </si>
  <si>
    <t xml:space="preserve">TASK STATUS (auto-compute từ Tasks tab)</t>
  </si>
  <si>
    <t xml:space="preserve">Status</t>
  </si>
  <si>
    <t xml:space="preserve">Count</t>
  </si>
  <si>
    <t xml:space="preserve">%</t>
  </si>
  <si>
    <t xml:space="preserve">Done</t>
  </si>
  <si>
    <t xml:space="preserve">Doing</t>
  </si>
  <si>
    <t xml:space="preserve">Review</t>
  </si>
  <si>
    <t xml:space="preserve">Ready</t>
  </si>
  <si>
    <t xml:space="preserve">Todo</t>
  </si>
  <si>
    <t xml:space="preserve">Blocked</t>
  </si>
  <si>
    <t xml:space="preserve">Total tasks</t>
  </si>
  <si>
    <t xml:space="preserve">PRIORITY BREAKDOWN</t>
  </si>
  <si>
    <t xml:space="preserve">Priority</t>
  </si>
  <si>
    <t xml:space="preserve">Total</t>
  </si>
  <si>
    <t xml:space="preserve">P0 (critical)</t>
  </si>
  <si>
    <t xml:space="preserve">P1 (high)</t>
  </si>
  <si>
    <t xml:space="preserve">P2 (medium)</t>
  </si>
  <si>
    <t xml:space="preserve">P3 (low)</t>
  </si>
  <si>
    <t xml:space="preserve">RISKS (auto-compute từ Risks tab)</t>
  </si>
  <si>
    <t xml:space="preserve">Active HIGH</t>
  </si>
  <si>
    <t xml:space="preserve">Active MEDIUM</t>
  </si>
  <si>
    <t xml:space="preserve">Active LOW</t>
  </si>
  <si>
    <t xml:space="preserve">BUGS (auto-compute từ Bugs tab)</t>
  </si>
  <si>
    <t xml:space="preserve">Open P0</t>
  </si>
  <si>
    <t xml:space="preserve">Open P1</t>
  </si>
  <si>
    <t xml:space="preserve">Total open bugs</t>
  </si>
  <si>
    <t xml:space="preserve">INTEGRATIONS STATUS</t>
  </si>
  <si>
    <t xml:space="preserve">Xem chi tiết tab "7. Integrations"</t>
  </si>
  <si>
    <t xml:space="preserve">Task ID</t>
  </si>
  <si>
    <t xml:space="preserve">Task name</t>
  </si>
  <si>
    <t xml:space="preserve">Module</t>
  </si>
  <si>
    <t xml:space="preserve">Spec Ref</t>
  </si>
  <si>
    <t xml:space="preserve">Type</t>
  </si>
  <si>
    <t xml:space="preserve">Assignee</t>
  </si>
  <si>
    <t xml:space="preserve">Sprint</t>
  </si>
  <si>
    <t xml:space="preserve">Estimate (d)</t>
  </si>
  <si>
    <t xml:space="preserve">Actual (d)</t>
  </si>
  <si>
    <t xml:space="preserve">Depends on</t>
  </si>
  <si>
    <t xml:space="preserve">Notes</t>
  </si>
  <si>
    <t xml:space="preserve">T-001</t>
  </si>
  <si>
    <t xml:space="preserve">Setup repository + CI/CD pipeline</t>
  </si>
  <si>
    <t xml:space="preserve">DevOps</t>
  </si>
  <si>
    <t xml:space="preserve">B6 §2.4</t>
  </si>
  <si>
    <t xml:space="preserve">P0</t>
  </si>
  <si>
    <t xml:space="preserve">Sprint 1</t>
  </si>
  <si>
    <t xml:space="preserve">Git, branch strategy, CI/CD</t>
  </si>
  <si>
    <t xml:space="preserve">T-002</t>
  </si>
  <si>
    <t xml:space="preserve">Setup staging + production environments</t>
  </si>
  <si>
    <t xml:space="preserve">T-003</t>
  </si>
  <si>
    <t xml:space="preserve">Database schema design + migrations</t>
  </si>
  <si>
    <t xml:space="preserve">DB</t>
  </si>
  <si>
    <t xml:space="preserve">B1 §15</t>
  </si>
  <si>
    <t xml:space="preserve">Backend</t>
  </si>
  <si>
    <t xml:space="preserve">40+ entities theo B1 entity dictionary</t>
  </si>
  <si>
    <t xml:space="preserve">T-004</t>
  </si>
  <si>
    <t xml:space="preserve">Setup ORM + base models</t>
  </si>
  <si>
    <t xml:space="preserve">T-005</t>
  </si>
  <si>
    <t xml:space="preserve">Implement Auth: SĐT + OTP API</t>
  </si>
  <si>
    <t xml:space="preserve">Auth</t>
  </si>
  <si>
    <t xml:space="preserve">B5.2 S-Login §1.7</t>
  </si>
  <si>
    <t xml:space="preserve">T-003, T-009</t>
  </si>
  <si>
    <t xml:space="preserve">Phụ thuộc Zalo OA setup</t>
  </si>
  <si>
    <t xml:space="preserve">T-006</t>
  </si>
  <si>
    <t xml:space="preserve">Implement Device Binding logic</t>
  </si>
  <si>
    <t xml:space="preserve">B5.2 S-Login §1.6</t>
  </si>
  <si>
    <t xml:space="preserve">Sprint 2</t>
  </si>
  <si>
    <t xml:space="preserve">T-007</t>
  </si>
  <si>
    <t xml:space="preserve">Build login screen 3-step wizard</t>
  </si>
  <si>
    <t xml:space="preserve">B5.2 S-Login §1.4</t>
  </si>
  <si>
    <t xml:space="preserve">Frontend</t>
  </si>
  <si>
    <t xml:space="preserve">Reuse design ref existing</t>
  </si>
  <si>
    <t xml:space="preserve">T-008</t>
  </si>
  <si>
    <t xml:space="preserve">Permission middleware base 5 roles</t>
  </si>
  <si>
    <t xml:space="preserve">Permission</t>
  </si>
  <si>
    <t xml:space="preserve">B4 R-9-1</t>
  </si>
  <si>
    <t xml:space="preserve">T-009</t>
  </si>
  <si>
    <t xml:space="preserve">Zalo OA SDK integration setup</t>
  </si>
  <si>
    <t xml:space="preserve">Integration</t>
  </si>
  <si>
    <t xml:space="preserve">B5.2 §1.7</t>
  </si>
  <si>
    <t xml:space="preserve">BLOCKER: Zalo OA chưa setup</t>
  </si>
  <si>
    <t xml:space="preserve">T-010</t>
  </si>
  <si>
    <t xml:space="preserve">OTP rate limiting + lock account</t>
  </si>
  <si>
    <t xml:space="preserve">B5.2 §1.8</t>
  </si>
  <si>
    <t xml:space="preserve">3 lần wrong → lock 15p</t>
  </si>
  <si>
    <t xml:space="preserve">T-011</t>
  </si>
  <si>
    <t xml:space="preserve">MS-2 Onboarding screen UI + logic</t>
  </si>
  <si>
    <t xml:space="preserve">Onboarding</t>
  </si>
  <si>
    <t xml:space="preserve">B5.1 MS-2</t>
  </si>
  <si>
    <t xml:space="preserve">P1</t>
  </si>
  <si>
    <t xml:space="preserve">Bắt buộc đặt target HH tháng</t>
  </si>
  <si>
    <t xml:space="preserve">T-012</t>
  </si>
  <si>
    <t xml:space="preserve">MS-2 API set-target + suggestion</t>
  </si>
  <si>
    <t xml:space="preserve">B5.1 MS-2 §1.7</t>
  </si>
  <si>
    <t xml:space="preserve">T-020</t>
  </si>
  <si>
    <t xml:space="preserve">Order entity + state machine 8 states</t>
  </si>
  <si>
    <t xml:space="preserve">Order</t>
  </si>
  <si>
    <t xml:space="preserve">B2.2 §1, B4 R-2-1</t>
  </si>
  <si>
    <t xml:space="preserve">Sprint 3</t>
  </si>
  <si>
    <t xml:space="preserve">T-021</t>
  </si>
  <si>
    <t xml:space="preserve">Order auto NO_SHOW cron T+30p</t>
  </si>
  <si>
    <t xml:space="preserve">B4 R-2-2</t>
  </si>
  <si>
    <t xml:space="preserve">T-022</t>
  </si>
  <si>
    <t xml:space="preserve">OrderRoleAssignment populate logic at CONFIRMED</t>
  </si>
  <si>
    <t xml:space="preserve">HH Engine</t>
  </si>
  <si>
    <t xml:space="preserve">B4 R-3-1</t>
  </si>
  <si>
    <t xml:space="preserve">2 row Sale + TC</t>
  </si>
  <si>
    <t xml:space="preserve">T-023</t>
  </si>
  <si>
    <t xml:space="preserve">Populate BS row khi exam_started webhook</t>
  </si>
  <si>
    <t xml:space="preserve">B4 R-3-2</t>
  </si>
  <si>
    <t xml:space="preserve">T-022, T-040</t>
  </si>
  <si>
    <t xml:space="preserve">Phụ thuộc Isoft webhook</t>
  </si>
  <si>
    <t xml:space="preserve">T-024</t>
  </si>
  <si>
    <t xml:space="preserve">Snapshot ranking pattern implementation</t>
  </si>
  <si>
    <t xml:space="preserve">B4 R-1-3, R-4-2</t>
  </si>
  <si>
    <t xml:space="preserve">T-025</t>
  </si>
  <si>
    <t xml:space="preserve">HH formula calculation engine</t>
  </si>
  <si>
    <t xml:space="preserve">B4 R-1-1</t>
  </si>
  <si>
    <t xml:space="preserve">net_profit = total_paid - total_cost</t>
  </si>
  <si>
    <t xml:space="preserve">T-026</t>
  </si>
  <si>
    <t xml:space="preserve">CR lifecycle + state machine</t>
  </si>
  <si>
    <t xml:space="preserve">CR</t>
  </si>
  <si>
    <t xml:space="preserve">B4 R-2-3</t>
  </si>
  <si>
    <t xml:space="preserve">Sprint 4</t>
  </si>
  <si>
    <t xml:space="preserve">7 states</t>
  </si>
  <si>
    <t xml:space="preserve">T-027</t>
  </si>
  <si>
    <t xml:space="preserve">Refund recompute logic (full + partial)</t>
  </si>
  <si>
    <t xml:space="preserve">B4 R-12-7</t>
  </si>
  <si>
    <t xml:space="preserve">Recompute all role per R-12-7</t>
  </si>
  <si>
    <t xml:space="preserve">T-028</t>
  </si>
  <si>
    <t xml:space="preserve">Order list screen update filter status 8</t>
  </si>
  <si>
    <t xml:space="preserve">B5.3 §4</t>
  </si>
  <si>
    <t xml:space="preserve">Add REFUND_*, IN_PROGRESS filter</t>
  </si>
  <si>
    <t xml:space="preserve">T-029</t>
  </si>
  <si>
    <t xml:space="preserve">Order detail screen update</t>
  </si>
  <si>
    <t xml:space="preserve">B5.3 S-Order-Detail</t>
  </si>
  <si>
    <t xml:space="preserve">Add khiếu nại CTA, OrderItem.status mark, refund display</t>
  </si>
  <si>
    <t xml:space="preserve">T-030</t>
  </si>
  <si>
    <t xml:space="preserve">Order create screen reuse + integration</t>
  </si>
  <si>
    <t xml:space="preserve">B5.3 (note)</t>
  </si>
  <si>
    <t xml:space="preserve">Reuse existing order-create.tsx</t>
  </si>
  <si>
    <t xml:space="preserve">T-031</t>
  </si>
  <si>
    <t xml:space="preserve">MS-1 Tạo đơn thành công screen</t>
  </si>
  <si>
    <t xml:space="preserve">B5.5 MS-1</t>
  </si>
  <si>
    <t xml:space="preserve">P2</t>
  </si>
  <si>
    <t xml:space="preserve">T-040</t>
  </si>
  <si>
    <t xml:space="preserve">Isoft webhook handler base</t>
  </si>
  <si>
    <t xml:space="preserve">B1 §11, B4 R-12-3,4,5</t>
  </si>
  <si>
    <t xml:space="preserve">Sprint 5</t>
  </si>
  <si>
    <t xml:space="preserve">BLOCKER: Isoft contract</t>
  </si>
  <si>
    <t xml:space="preserve">T-041</t>
  </si>
  <si>
    <t xml:space="preserve">Webhook idempotency + audit log</t>
  </si>
  <si>
    <t xml:space="preserve">B4 R-12-4</t>
  </si>
  <si>
    <t xml:space="preserve">T-042</t>
  </si>
  <si>
    <t xml:space="preserve">AdjustmentRequest entity + state machine</t>
  </si>
  <si>
    <t xml:space="preserve">Adjustment</t>
  </si>
  <si>
    <t xml:space="preserve">B4 R-2-4</t>
  </si>
  <si>
    <t xml:space="preserve">T-043</t>
  </si>
  <si>
    <t xml:space="preserve">MS-9 Tạo Adjustment screen (KT)</t>
  </si>
  <si>
    <t xml:space="preserve">B5.1 MS-9</t>
  </si>
  <si>
    <t xml:space="preserve">Form + preview HH ảnh hưởng</t>
  </si>
  <si>
    <t xml:space="preserve">T-044</t>
  </si>
  <si>
    <t xml:space="preserve">MS-9 API tạo + preview-impact</t>
  </si>
  <si>
    <t xml:space="preserve">B5.1 MS-9 §2.7</t>
  </si>
  <si>
    <t xml:space="preserve">T-045</t>
  </si>
  <si>
    <t xml:space="preserve">MS-10 Duyệt Adjustment screen (CEO)</t>
  </si>
  <si>
    <t xml:space="preserve">B5.1 MS-10</t>
  </si>
  <si>
    <t xml:space="preserve">Bulk approve + reject flow</t>
  </si>
  <si>
    <t xml:space="preserve">T-046</t>
  </si>
  <si>
    <t xml:space="preserve">MS-10 API approve/reject batch</t>
  </si>
  <si>
    <t xml:space="preserve">B5.1 MS-10 §3.7</t>
  </si>
  <si>
    <t xml:space="preserve">T-047</t>
  </si>
  <si>
    <t xml:space="preserve">Adjustment edit window 30 ngày + clawback delta</t>
  </si>
  <si>
    <t xml:space="preserve">B4 R-6-3, R-6-4</t>
  </si>
  <si>
    <t xml:space="preserve">Sprint 6</t>
  </si>
  <si>
    <t xml:space="preserve">Critical logic</t>
  </si>
  <si>
    <t xml:space="preserve">T-048</t>
  </si>
  <si>
    <t xml:space="preserve">Auto rule framework engine</t>
  </si>
  <si>
    <t xml:space="preserve">Auto Rule</t>
  </si>
  <si>
    <t xml:space="preserve">B4 R-7-4</t>
  </si>
  <si>
    <t xml:space="preserve">T-049</t>
  </si>
  <si>
    <t xml:space="preserve">Auto rule "Thưởng target tháng" implementation</t>
  </si>
  <si>
    <t xml:space="preserve">B4 R-7-2</t>
  </si>
  <si>
    <t xml:space="preserve">HH gốc × bonus_pct × overshoot</t>
  </si>
  <si>
    <t xml:space="preserve">T-050</t>
  </si>
  <si>
    <t xml:space="preserve">MS-6 Cấu hình Auto Rule UI</t>
  </si>
  <si>
    <t xml:space="preserve">B5.4 MS-6</t>
  </si>
  <si>
    <t xml:space="preserve">T-051</t>
  </si>
  <si>
    <t xml:space="preserve">SalaryCycle entity + lifecycle</t>
  </si>
  <si>
    <t xml:space="preserve">Pay Cycle</t>
  </si>
  <si>
    <t xml:space="preserve">B2.4 §7</t>
  </si>
  <si>
    <t xml:space="preserve">open/locked/closed states</t>
  </si>
  <si>
    <t xml:space="preserve">T-052</t>
  </si>
  <si>
    <t xml:space="preserve">CR khiếu nại flow (NV submit, Diễm review)</t>
  </si>
  <si>
    <t xml:space="preserve">B4 R-11-7</t>
  </si>
  <si>
    <t xml:space="preserve">3-day window</t>
  </si>
  <si>
    <t xml:space="preserve">T-053</t>
  </si>
  <si>
    <t xml:space="preserve">MS-12 Export Excel screen + 4 file generator</t>
  </si>
  <si>
    <t xml:space="preserve">B5.1 MS-12</t>
  </si>
  <si>
    <t xml:space="preserve">T-054</t>
  </si>
  <si>
    <t xml:space="preserve">MS-12 backend file generation</t>
  </si>
  <si>
    <t xml:space="preserve">B5.1 MS-12 §4.7</t>
  </si>
  <si>
    <t xml:space="preserve">4 Excel files</t>
  </si>
  <si>
    <t xml:space="preserve">T-055</t>
  </si>
  <si>
    <t xml:space="preserve">S-Income screen update (adjustment + clawback + khiếu nại)</t>
  </si>
  <si>
    <t xml:space="preserve">Income</t>
  </si>
  <si>
    <t xml:space="preserve">B5.3 S-Income</t>
  </si>
  <si>
    <t xml:space="preserve">T-026, T-047</t>
  </si>
  <si>
    <t xml:space="preserve">Reuse existing income.tsx</t>
  </si>
  <si>
    <t xml:space="preserve">T-056</t>
  </si>
  <si>
    <t xml:space="preserve">MS-11 Pay slip preview NV</t>
  </si>
  <si>
    <t xml:space="preserve">B5.5 MS-11</t>
  </si>
  <si>
    <t xml:space="preserve">T-057</t>
  </si>
  <si>
    <t xml:space="preserve">S-Admin-Commission-Approval rework</t>
  </si>
  <si>
    <t xml:space="preserve">Admin</t>
  </si>
  <si>
    <t xml:space="preserve">B5.3 S-Admin-Commission-Approval</t>
  </si>
  <si>
    <t xml:space="preserve">T-026, T-052</t>
  </si>
  <si>
    <t xml:space="preserve">Tab Khiếu nại + Export integration + bulk-all với safety</t>
  </si>
  <si>
    <t xml:space="preserve">T-060</t>
  </si>
  <si>
    <t xml:space="preserve">Webhook order.checkin handler</t>
  </si>
  <si>
    <t xml:space="preserve">B4 R-2-1, R-12-5</t>
  </si>
  <si>
    <t xml:space="preserve">Sprint 7</t>
  </si>
  <si>
    <t xml:space="preserve">T-061</t>
  </si>
  <si>
    <t xml:space="preserve">Webhook order.exam_started handler</t>
  </si>
  <si>
    <t xml:space="preserve">Add BS row</t>
  </si>
  <si>
    <t xml:space="preserve">T-062</t>
  </si>
  <si>
    <t xml:space="preserve">Webhook order.completed handler</t>
  </si>
  <si>
    <t xml:space="preserve">B4 R-2-1</t>
  </si>
  <si>
    <t xml:space="preserve">T-063</t>
  </si>
  <si>
    <t xml:space="preserve">Webhook order.refunded handler</t>
  </si>
  <si>
    <t xml:space="preserve">T-040, T-027</t>
  </si>
  <si>
    <t xml:space="preserve">Full + partial refund</t>
  </si>
  <si>
    <t xml:space="preserve">T-064</t>
  </si>
  <si>
    <t xml:space="preserve">Webhook order.cancelled handler</t>
  </si>
  <si>
    <t xml:space="preserve">T-065</t>
  </si>
  <si>
    <t xml:space="preserve">Webhook order.adjusted handler</t>
  </si>
  <si>
    <t xml:space="preserve">T-066</t>
  </si>
  <si>
    <t xml:space="preserve">Reminder schedule on CONFIRMED (4 reminders)</t>
  </si>
  <si>
    <t xml:space="preserve">Notification</t>
  </si>
  <si>
    <t xml:space="preserve">B4 R-8-1</t>
  </si>
  <si>
    <t xml:space="preserve">T-009, T-020</t>
  </si>
  <si>
    <t xml:space="preserve">T-067</t>
  </si>
  <si>
    <t xml:space="preserve">Cron tick mỗi 5p send pending notifications</t>
  </si>
  <si>
    <t xml:space="preserve">B4 R-8-3</t>
  </si>
  <si>
    <t xml:space="preserve">T-068</t>
  </si>
  <si>
    <t xml:space="preserve">Cancel reminders on IN_PROGRESS/CANCEL/NO_SHOW</t>
  </si>
  <si>
    <t xml:space="preserve">B4 R-8-2</t>
  </si>
  <si>
    <t xml:space="preserve">T-069</t>
  </si>
  <si>
    <t xml:space="preserve">MS-3 Notification list screen</t>
  </si>
  <si>
    <t xml:space="preserve">B5.5 MS-3</t>
  </si>
  <si>
    <t xml:space="preserve">Real-time push hoặc poll 30s</t>
  </si>
  <si>
    <t xml:space="preserve">T-070</t>
  </si>
  <si>
    <t xml:space="preserve">Push notification infrastructure</t>
  </si>
  <si>
    <t xml:space="preserve">T-071</t>
  </si>
  <si>
    <t xml:space="preserve">S-Admin-Staff rework (offboarding + isoft mapping)</t>
  </si>
  <si>
    <t xml:space="preserve">B5.2 S-Admin-Staff</t>
  </si>
  <si>
    <t xml:space="preserve">Sprint 8</t>
  </si>
  <si>
    <t xml:space="preserve">Bỏ password, add device binding</t>
  </si>
  <si>
    <t xml:space="preserve">T-072</t>
  </si>
  <si>
    <t xml:space="preserve">S-Admin-Settings 10 sections UI</t>
  </si>
  <si>
    <t xml:space="preserve">B5.2 S-Admin-Settings</t>
  </si>
  <si>
    <t xml:space="preserve">Major rework</t>
  </si>
  <si>
    <t xml:space="preserve">T-073</t>
  </si>
  <si>
    <t xml:space="preserve">Settings backend (matrix HH, ranking, role, etc.)</t>
  </si>
  <si>
    <t xml:space="preserve">B5.2 §3.16</t>
  </si>
  <si>
    <t xml:space="preserve">T-074</t>
  </si>
  <si>
    <t xml:space="preserve">Recall logic (Customer.next_recall_due_at từ Isoft)</t>
  </si>
  <si>
    <t xml:space="preserve">Customer</t>
  </si>
  <si>
    <t xml:space="preserve">B4 R-8-5</t>
  </si>
  <si>
    <t xml:space="preserve">Chỉ từ Isoft webhook</t>
  </si>
  <si>
    <t xml:space="preserve">T-080</t>
  </si>
  <si>
    <t xml:space="preserve">MS-7 Customer Follow-up Dashboard</t>
  </si>
  <si>
    <t xml:space="preserve">B5.4 MS-7</t>
  </si>
  <si>
    <t xml:space="preserve">Sprint 9</t>
  </si>
  <si>
    <t xml:space="preserve">T-081</t>
  </si>
  <si>
    <t xml:space="preserve">MS-7 API follow-up actions</t>
  </si>
  <si>
    <t xml:space="preserve">B5.4 MS-7 §3.7</t>
  </si>
  <si>
    <t xml:space="preserve">T-082</t>
  </si>
  <si>
    <t xml:space="preserve">Cron 7h sáng push recall notifications</t>
  </si>
  <si>
    <t xml:space="preserve">B5.4 MS-7 §3.6</t>
  </si>
  <si>
    <t xml:space="preserve">T-083</t>
  </si>
  <si>
    <t xml:space="preserve">Customer detail update reminder integration</t>
  </si>
  <si>
    <t xml:space="preserve">B3 F-3-9</t>
  </si>
  <si>
    <t xml:space="preserve">Reuse customer-detail.tsx</t>
  </si>
  <si>
    <t xml:space="preserve">T-084</t>
  </si>
  <si>
    <t xml:space="preserve">Shift entity + ShiftHeadAssignment (architecture J)</t>
  </si>
  <si>
    <t xml:space="preserve">Shift</t>
  </si>
  <si>
    <t xml:space="preserve">ADR-001, B4 R-3-1</t>
  </si>
  <si>
    <t xml:space="preserve">T-085</t>
  </si>
  <si>
    <t xml:space="preserve">MS-5 Cấu hình Shift screen</t>
  </si>
  <si>
    <t xml:space="preserve">B5.4 MS-5</t>
  </si>
  <si>
    <t xml:space="preserve">Advanced mode hidden</t>
  </si>
  <si>
    <t xml:space="preserve">T-086</t>
  </si>
  <si>
    <t xml:space="preserve">TC lookup logic theo Shift</t>
  </si>
  <si>
    <t xml:space="preserve">T-087</t>
  </si>
  <si>
    <t xml:space="preserve">S-Ranking conditional render NV/BS personal vs Full</t>
  </si>
  <si>
    <t xml:space="preserve">Ranking</t>
  </si>
  <si>
    <t xml:space="preserve">B5.4 §4</t>
  </si>
  <si>
    <t xml:space="preserve">Sprint 10</t>
  </si>
  <si>
    <t xml:space="preserve">T-088</t>
  </si>
  <si>
    <t xml:space="preserve">MS-4 Bàn giao công việc screen</t>
  </si>
  <si>
    <t xml:space="preserve">Handover</t>
  </si>
  <si>
    <t xml:space="preserve">B5.5 MS-4</t>
  </si>
  <si>
    <t xml:space="preserve">T-089</t>
  </si>
  <si>
    <t xml:space="preserve">MS-4 handover API + logic</t>
  </si>
  <si>
    <t xml:space="preserve">B5.5 MS-4 §3.7</t>
  </si>
  <si>
    <t xml:space="preserve">T-090</t>
  </si>
  <si>
    <t xml:space="preserve">MS-8 Notification Log audit screen</t>
  </si>
  <si>
    <t xml:space="preserve">B5.5 MS-8</t>
  </si>
  <si>
    <t xml:space="preserve">T-091</t>
  </si>
  <si>
    <t xml:space="preserve">Audit log retention + archive cron</t>
  </si>
  <si>
    <t xml:space="preserve">Compliance</t>
  </si>
  <si>
    <t xml:space="preserve">B4 R-10-1</t>
  </si>
  <si>
    <t xml:space="preserve">90d / 1y / 5y per type</t>
  </si>
  <si>
    <t xml:space="preserve">T-092</t>
  </si>
  <si>
    <t xml:space="preserve">Customers + Customer-detail screens reuse</t>
  </si>
  <si>
    <t xml:space="preserve">B3 (existing)</t>
  </si>
  <si>
    <t xml:space="preserve">Minor updates</t>
  </si>
  <si>
    <t xml:space="preserve">T-093</t>
  </si>
  <si>
    <t xml:space="preserve">Services + Service-detail screens reuse</t>
  </si>
  <si>
    <t xml:space="preserve">Service</t>
  </si>
  <si>
    <t xml:space="preserve">P3</t>
  </si>
  <si>
    <t xml:space="preserve">Reuse 100%</t>
  </si>
  <si>
    <t xml:space="preserve">T-094</t>
  </si>
  <si>
    <t xml:space="preserve">Dashboard screen reuse + permission filter</t>
  </si>
  <si>
    <t xml:space="preserve">Dashboard</t>
  </si>
  <si>
    <t xml:space="preserve">Reuse pattern</t>
  </si>
  <si>
    <t xml:space="preserve">T-095</t>
  </si>
  <si>
    <t xml:space="preserve">Analytics screens (4 files) reuse</t>
  </si>
  <si>
    <t xml:space="preserve">Analytics</t>
  </si>
  <si>
    <t xml:space="preserve">Reuse all</t>
  </si>
  <si>
    <t xml:space="preserve">T-100</t>
  </si>
  <si>
    <t xml:space="preserve">Unit test coverage 80% business rules</t>
  </si>
  <si>
    <t xml:space="preserve">QA</t>
  </si>
  <si>
    <t xml:space="preserve">B6 §2.3</t>
  </si>
  <si>
    <t xml:space="preserve">Sprint 11</t>
  </si>
  <si>
    <t xml:space="preserve">Formula, state machine, calc</t>
  </si>
  <si>
    <t xml:space="preserve">T-101</t>
  </si>
  <si>
    <t xml:space="preserve">Integration tests webhook handlers</t>
  </si>
  <si>
    <t xml:space="preserve">T-102</t>
  </si>
  <si>
    <t xml:space="preserve">E2E test critical flows</t>
  </si>
  <si>
    <t xml:space="preserve">Login, create order, approve CR, payday</t>
  </si>
  <si>
    <t xml:space="preserve">T-103</t>
  </si>
  <si>
    <t xml:space="preserve">Load test 100 đơn/ngày × 30 ngày</t>
  </si>
  <si>
    <t xml:space="preserve">3000 đơn cycle</t>
  </si>
  <si>
    <t xml:space="preserve">T-104</t>
  </si>
  <si>
    <t xml:space="preserve">Security audit (OTP brute force, device hijack)</t>
  </si>
  <si>
    <t xml:space="preserve">B6 §3.1 R5</t>
  </si>
  <si>
    <t xml:space="preserve">T-105</t>
  </si>
  <si>
    <t xml:space="preserve">UAT với Diễm + Hà + 1 NV</t>
  </si>
  <si>
    <t xml:space="preserve">B6 §6.1 M5 gate</t>
  </si>
  <si>
    <t xml:space="preserve">T-106</t>
  </si>
  <si>
    <t xml:space="preserve">Bug fix sprint based on UAT</t>
  </si>
  <si>
    <t xml:space="preserve">Both</t>
  </si>
  <si>
    <t xml:space="preserve">T-107</t>
  </si>
  <si>
    <t xml:space="preserve">Pilot 2 tuần parallel với Excel</t>
  </si>
  <si>
    <t xml:space="preserve">Launch</t>
  </si>
  <si>
    <t xml:space="preserve">B6 §6.1 M6</t>
  </si>
  <si>
    <t xml:space="preserve">Sprint 12</t>
  </si>
  <si>
    <t xml:space="preserve">T-108</t>
  </si>
  <si>
    <t xml:space="preserve">Train NP staff (4 buổi 2-3 giờ)</t>
  </si>
  <si>
    <t xml:space="preserve">Doc</t>
  </si>
  <si>
    <t xml:space="preserve">Per role training</t>
  </si>
  <si>
    <t xml:space="preserve">T-109</t>
  </si>
  <si>
    <t xml:space="preserve">Deployment runbook documentation</t>
  </si>
  <si>
    <t xml:space="preserve">T-110</t>
  </si>
  <si>
    <t xml:space="preserve">Backup + recovery automation</t>
  </si>
  <si>
    <t xml:space="preserve">Backup 4h/lần, giữ 1 năm</t>
  </si>
  <si>
    <t xml:space="preserve">T-111</t>
  </si>
  <si>
    <t xml:space="preserve">Monitoring + alert setup</t>
  </si>
  <si>
    <t xml:space="preserve">Uptime, error rate, webhook fail</t>
  </si>
  <si>
    <t xml:space="preserve">T-112</t>
  </si>
  <si>
    <t xml:space="preserve">Cutover + Go-live execution</t>
  </si>
  <si>
    <t xml:space="preserve">B6 §Phase 4</t>
  </si>
  <si>
    <t xml:space="preserve">Friday data migration, Saturday standby, Monday go-live</t>
  </si>
  <si>
    <t xml:space="preserve">T-113</t>
  </si>
  <si>
    <t xml:space="preserve">Post-launch hot-fix + monitoring 2 tuần</t>
  </si>
  <si>
    <t xml:space="preserve">T-120</t>
  </si>
  <si>
    <t xml:space="preserve">Run kì lương đầu tiên</t>
  </si>
  <si>
    <t xml:space="preserve">Stabilization</t>
  </si>
  <si>
    <t xml:space="preserve">B6 §Phase 5</t>
  </si>
  <si>
    <t xml:space="preserve">Post-launch</t>
  </si>
  <si>
    <t xml:space="preserve">Diễm export, đối soát Misa</t>
  </si>
  <si>
    <t xml:space="preserve">T-121</t>
  </si>
  <si>
    <t xml:space="preserve">Collect feedback retrospective</t>
  </si>
  <si>
    <t xml:space="preserve">T-122</t>
  </si>
  <si>
    <t xml:space="preserve">Plan Phase 2 features priorities</t>
  </si>
  <si>
    <t xml:space="preserve">B6 §8</t>
  </si>
  <si>
    <t xml:space="preserve">T-123</t>
  </si>
  <si>
    <t xml:space="preserve">Sign-off ceremony với anh Nguyên</t>
  </si>
  <si>
    <t xml:space="preserve">Acceptance</t>
  </si>
  <si>
    <t xml:space="preserve">B6 §Phase 6</t>
  </si>
  <si>
    <t xml:space="preserve">T-124</t>
  </si>
  <si>
    <t xml:space="preserve">Handover documentation final</t>
  </si>
  <si>
    <t xml:space="preserve">B6 §9</t>
  </si>
  <si>
    <t xml:space="preserve">NP App HH - Sprint Planning</t>
  </si>
  <si>
    <t xml:space="preserve">Note: Tasks list trong tab "2. Tasks", filter theo Sprint column.</t>
  </si>
  <si>
    <t xml:space="preserve">Goal</t>
  </si>
  <si>
    <t xml:space="preserve">Key tasks</t>
  </si>
  <si>
    <t xml:space="preserve">Demo / Gate</t>
  </si>
  <si>
    <t xml:space="preserve">Milestone</t>
  </si>
  <si>
    <t xml:space="preserve">Tuần 1-2</t>
  </si>
  <si>
    <t xml:space="preserve">Setup + Auth foundation</t>
  </si>
  <si>
    <t xml:space="preserve">Repo, CI/CD, DB schema, Auth API, Zalo OA SDK setup</t>
  </si>
  <si>
    <t xml:space="preserve">Working login screen</t>
  </si>
  <si>
    <t xml:space="preserve">M1</t>
  </si>
  <si>
    <t xml:space="preserve">Tuần 3-4</t>
  </si>
  <si>
    <t xml:space="preserve">Auth complete + Onboarding</t>
  </si>
  <si>
    <t xml:space="preserve">Login wizard, Permission middleware, MS-2 Onboarding</t>
  </si>
  <si>
    <t xml:space="preserve">NV có thể login + đặt target</t>
  </si>
  <si>
    <t xml:space="preserve">Tuần 5-6</t>
  </si>
  <si>
    <t xml:space="preserve">Order lifecycle + HH formula</t>
  </si>
  <si>
    <t xml:space="preserve">Order entity, OrderRoleAssignment, snapshot ranking, HH calculation</t>
  </si>
  <si>
    <t xml:space="preserve">Tạo đơn → ăn HH end-to-end</t>
  </si>
  <si>
    <t xml:space="preserve">M2</t>
  </si>
  <si>
    <t xml:space="preserve">Tuần 7-8</t>
  </si>
  <si>
    <t xml:space="preserve">CR lifecycle + Order screens</t>
  </si>
  <si>
    <t xml:space="preserve">CR state machine, refund logic, Order detail UI, MS-1 success</t>
  </si>
  <si>
    <t xml:space="preserve">Demo CR workflow cho anh Nguyên</t>
  </si>
  <si>
    <t xml:space="preserve">Tuần 9-10</t>
  </si>
  <si>
    <t xml:space="preserve">Adjustment workflow</t>
  </si>
  <si>
    <t xml:space="preserve">AdjustmentRequest, MS-9, MS-10, Auto rule framework</t>
  </si>
  <si>
    <t xml:space="preserve">Diễm tạo + CEO duyệt adjustment hoạt động</t>
  </si>
  <si>
    <t xml:space="preserve">M3</t>
  </si>
  <si>
    <t xml:space="preserve">Tuần 11-12</t>
  </si>
  <si>
    <t xml:space="preserve">Pay cycle + Income</t>
  </si>
  <si>
    <t xml:space="preserve">SalaryCycle, MS-12 Export, S-Income, S-Admin-Commission-Approval, khiếu nại flow</t>
  </si>
  <si>
    <t xml:space="preserve">Run 1 cycle hoàn chỉnh với data fake</t>
  </si>
  <si>
    <t xml:space="preserve">Tuần 13-14</t>
  </si>
  <si>
    <t xml:space="preserve">Isoft webhooks + Reminders</t>
  </si>
  <si>
    <t xml:space="preserve">6 webhook events, reminder schedule, MS-3 Notification</t>
  </si>
  <si>
    <t xml:space="preserve">Test integration Isoft staging</t>
  </si>
  <si>
    <t xml:space="preserve">M4</t>
  </si>
  <si>
    <t xml:space="preserve">Tuần 15-16</t>
  </si>
  <si>
    <t xml:space="preserve">Admin screens</t>
  </si>
  <si>
    <t xml:space="preserve">S-Admin-Staff rework, S-Admin-Settings 10 sections, recall logic</t>
  </si>
  <si>
    <t xml:space="preserve">CEO config full settings</t>
  </si>
  <si>
    <t xml:space="preserve">Tuần 17-18</t>
  </si>
  <si>
    <t xml:space="preserve">Customer + Shift</t>
  </si>
  <si>
    <t xml:space="preserve">MS-7 Customer Follow-up, Shift architecture J, MS-5</t>
  </si>
  <si>
    <t xml:space="preserve">Customer recall + multi-shift ready</t>
  </si>
  <si>
    <t xml:space="preserve">M5</t>
  </si>
  <si>
    <t xml:space="preserve">Tuần 19-20</t>
  </si>
  <si>
    <t xml:space="preserve">Polish + reuse existing</t>
  </si>
  <si>
    <t xml:space="preserve">MS-4, MS-8, MS-11, ranking conditional, reuse customer/service/dashboard/analytics</t>
  </si>
  <si>
    <t xml:space="preserve">All screens working</t>
  </si>
  <si>
    <t xml:space="preserve">Tuần 21-22</t>
  </si>
  <si>
    <t xml:space="preserve">Testing</t>
  </si>
  <si>
    <t xml:space="preserve">Unit + Integration + E2E + Load + Security tests, UAT</t>
  </si>
  <si>
    <t xml:space="preserve">Pass all tests, no P0/P1 bugs</t>
  </si>
  <si>
    <t xml:space="preserve">M6</t>
  </si>
  <si>
    <t xml:space="preserve">Tuần 23-24</t>
  </si>
  <si>
    <t xml:space="preserve">Pilot + Launch</t>
  </si>
  <si>
    <t xml:space="preserve">Pilot 2 tuần parallel, training, cutover, go-live, hot-fix monitoring</t>
  </si>
  <si>
    <t xml:space="preserve">NP App HH live in production</t>
  </si>
  <si>
    <t xml:space="preserve">Bug Tracker - Sẽ populate khi dev start + UAT</t>
  </si>
  <si>
    <t xml:space="preserve">Bug ID</t>
  </si>
  <si>
    <t xml:space="preserve">Title</t>
  </si>
  <si>
    <t xml:space="preserve">Severity</t>
  </si>
  <si>
    <t xml:space="preserve">Found by</t>
  </si>
  <si>
    <t xml:space="preserve">Found in</t>
  </si>
  <si>
    <t xml:space="preserve">Steps to reproduce</t>
  </si>
  <si>
    <t xml:space="preserve">Expected</t>
  </si>
  <si>
    <t xml:space="preserve">Actual</t>
  </si>
  <si>
    <t xml:space="preserve">Found date</t>
  </si>
  <si>
    <t xml:space="preserve">Closed date</t>
  </si>
  <si>
    <t xml:space="preserve">Fix commit</t>
  </si>
  <si>
    <t xml:space="preserve">B-001</t>
  </si>
  <si>
    <t xml:space="preserve">(Sample) Login OTP timer count down sai</t>
  </si>
  <si>
    <t xml:space="preserve">Dev</t>
  </si>
  <si>
    <t xml:space="preserve">1. Mở login
2. Nhập SĐT
3. Quan sát timer 5p</t>
  </si>
  <si>
    <t xml:space="preserve">Timer count down từ 5:00 → 0:00</t>
  </si>
  <si>
    <t xml:space="preserve">Timer hiển thị 5:00 nhưng không count</t>
  </si>
  <si>
    <t xml:space="preserve">Open</t>
  </si>
  <si>
    <t xml:space="preserve">(dev)</t>
  </si>
  <si>
    <t xml:space="preserve">2026-05-15</t>
  </si>
  <si>
    <t xml:space="preserve">Risk Register</t>
  </si>
  <si>
    <t xml:space="preserve">Risk ID</t>
  </si>
  <si>
    <t xml:space="preserve">Description</t>
  </si>
  <si>
    <t xml:space="preserve">Category</t>
  </si>
  <si>
    <t xml:space="preserve">Probability</t>
  </si>
  <si>
    <t xml:space="preserve">Impact</t>
  </si>
  <si>
    <t xml:space="preserve">Mitigation plan</t>
  </si>
  <si>
    <t xml:space="preserve">Owner</t>
  </si>
  <si>
    <t xml:space="preserve">Identified date</t>
  </si>
  <si>
    <t xml:space="preserve">Resolved date</t>
  </si>
  <si>
    <t xml:space="preserve">R-01</t>
  </si>
  <si>
    <t xml:space="preserve">Isoft webhook contract chưa rõ. Thiếu field performed_by_user_id, recall_due_date</t>
  </si>
  <si>
    <t xml:space="preserve">External</t>
  </si>
  <si>
    <t xml:space="preserve">High</t>
  </si>
  <si>
    <t xml:space="preserve">HIGH</t>
  </si>
  <si>
    <t xml:space="preserve">Anh contact Isoft trong 2 tuần. Plan B: build manual UI fallback (+5-10 ngày dev)</t>
  </si>
  <si>
    <t xml:space="preserve">Anh Phú</t>
  </si>
  <si>
    <t xml:space="preserve">Active</t>
  </si>
  <si>
    <t xml:space="preserve">2026-05-05</t>
  </si>
  <si>
    <t xml:space="preserve">R-02</t>
  </si>
  <si>
    <t xml:space="preserve">Zalo OA Verified chưa setup. Block Login OTP + Reminder + Recall</t>
  </si>
  <si>
    <t xml:space="preserve">NP đăng ký Zalo OA ngay, 2-4 tuần verify + template approve</t>
  </si>
  <si>
    <t xml:space="preserve">R-03</t>
  </si>
  <si>
    <t xml:space="preserve">Database performance scale 100 đơn/ngày × 5 role × 6 events = 3000 records/day</t>
  </si>
  <si>
    <t xml:space="preserve">Technical</t>
  </si>
  <si>
    <t xml:space="preserve">Medium</t>
  </si>
  <si>
    <t xml:space="preserve">MEDIUM-HIGH</t>
  </si>
  <si>
    <t xml:space="preserve">Index đúng (order_id, customer_id, cycle_id). Optimistic lock. Stress test 3x volume</t>
  </si>
  <si>
    <t xml:space="preserve">Dev lead</t>
  </si>
  <si>
    <t xml:space="preserve">R-04</t>
  </si>
  <si>
    <t xml:space="preserve">Money handling precision (luật kế toán VN). Sai số có thể vi phạm pháp lý</t>
  </si>
  <si>
    <t xml:space="preserve">Business</t>
  </si>
  <si>
    <t xml:space="preserve">Low</t>
  </si>
  <si>
    <t xml:space="preserve">MEDIUM</t>
  </si>
  <si>
    <t xml:space="preserve">bigint VND, decimal(5,2) %HH, half-up rounding cuối. Đối soát Misa hằng tháng</t>
  </si>
  <si>
    <t xml:space="preserve">R-05</t>
  </si>
  <si>
    <t xml:space="preserve">Auth security: OTP brute force, device hijack, account sharing</t>
  </si>
  <si>
    <t xml:space="preserve">Rate limit OTP 3 lần/SĐT/15p. Device binding 1:1. Audit log đầy đủ</t>
  </si>
  <si>
    <t xml:space="preserve">R-06</t>
  </si>
  <si>
    <t xml:space="preserve">Adjustment edit window 30 ngày clawback logic phức tạp</t>
  </si>
  <si>
    <t xml:space="preserve">Test nhiều edge case: edit 1 lần, nhiều lần, sau payday, edit của edit</t>
  </si>
  <si>
    <t xml:space="preserve">R-07</t>
  </si>
  <si>
    <t xml:space="preserve">Cross-month đơn HH timing confuse NV</t>
  </si>
  <si>
    <t xml:space="preserve">Operational</t>
  </si>
  <si>
    <t xml:space="preserve">LOW-MEDIUM</t>
  </si>
  <si>
    <t xml:space="preserve">UI thêm cột "Kì gốc" trên pay slip. Diễm giải thích NV nếu cần</t>
  </si>
  <si>
    <t xml:space="preserve">PM</t>
  </si>
  <si>
    <t xml:space="preserve">R-08</t>
  </si>
  <si>
    <t xml:space="preserve">Customer follow-up phụ thuộc Isoft recall_due_date. Nếu Isoft không gửi → module non-functional</t>
  </si>
  <si>
    <t xml:space="preserve">Manual workaround: NV/Hà gọi tay (out of app). Phase 2 add fallback Service default</t>
  </si>
  <si>
    <t xml:space="preserve">Decisions Log</t>
  </si>
  <si>
    <t xml:space="preserve">ID</t>
  </si>
  <si>
    <t xml:space="preserve">Topic</t>
  </si>
  <si>
    <t xml:space="preserve">Context</t>
  </si>
  <si>
    <t xml:space="preserve">Decision</t>
  </si>
  <si>
    <t xml:space="preserve">Rationale</t>
  </si>
  <si>
    <t xml:space="preserve">Made by</t>
  </si>
  <si>
    <t xml:space="preserve">Date</t>
  </si>
  <si>
    <t xml:space="preserve">D-001</t>
  </si>
  <si>
    <t xml:space="preserve">HH Formula</t>
  </si>
  <si>
    <t xml:space="preserve">Voucher có trừ khỏi base HH không</t>
  </si>
  <si>
    <t xml:space="preserve">net_profit = total_paid - total_cost. Voucher TRỪ khỏi base HH như BH</t>
  </si>
  <si>
    <t xml:space="preserve">Đơn giản, consistent với BH treatment. Voucher giảm doanh thu thực → giảm HH proportionally</t>
  </si>
  <si>
    <t xml:space="preserve">2026-04-28</t>
  </si>
  <si>
    <t xml:space="preserve">D-002</t>
  </si>
  <si>
    <t xml:space="preserve">KT/CEO không HH</t>
  </si>
  <si>
    <t xml:space="preserve">KT trưởng và CEO có HH per đơn không</t>
  </si>
  <si>
    <t xml:space="preserve">KT (Diễm) ăn lương cứng, CEO ăn lợi nhuận. KHÔNG có HH per đơn</t>
  </si>
  <si>
    <t xml:space="preserve">OrderRoleAssignment chỉ populate Sale + TC + BS (3 roles có HH)</t>
  </si>
  <si>
    <t xml:space="preserve">B4 R-1-2</t>
  </si>
  <si>
    <t xml:space="preserve">D-003</t>
  </si>
  <si>
    <t xml:space="preserve">Cap 10% intent</t>
  </si>
  <si>
    <t xml:space="preserve">App có enforce cap 10% net_profit không</t>
  </si>
  <si>
    <t xml:space="preserve">KHÔNG enforce. Chỉ awareness signal cho CEO review. Default NV full HH per formula</t>
  </si>
  <si>
    <t xml:space="preserve">Cut HH retroactive dễ gây mất lòng. Dùng cho process improvement</t>
  </si>
  <si>
    <t xml:space="preserve">2026-05-01</t>
  </si>
  <si>
    <t xml:space="preserve">B4 R-5-2</t>
  </si>
  <si>
    <t xml:space="preserve">D-004</t>
  </si>
  <si>
    <t xml:space="preserve">Bonus formula</t>
  </si>
  <si>
    <t xml:space="preserve">Auto rule "Thưởng target tháng" formula</t>
  </si>
  <si>
    <t xml:space="preserve">bonus = HH gốc × bonus_pct × overshoot</t>
  </si>
  <si>
    <t xml:space="preserve">App KHÔNG quản lý lương cứng. Dùng HH gốc làm base</t>
  </si>
  <si>
    <t xml:space="preserve">D-005</t>
  </si>
  <si>
    <t xml:space="preserve">Recall source</t>
  </si>
  <si>
    <t xml:space="preserve">Customer recall theo Service default hay y lệnh BS</t>
  </si>
  <si>
    <t xml:space="preserve">Chỉ consume recall_due_date từ Isoft webhook. KHÔNG có Service default fallback</t>
  </si>
  <si>
    <t xml:space="preserve">Trong y khoa, recall theo y lệnh BS per case. Đúng với reality</t>
  </si>
  <si>
    <t xml:space="preserve">D-006</t>
  </si>
  <si>
    <t xml:space="preserve">Permission model</t>
  </si>
  <si>
    <t xml:space="preserve">Role permission hardcode hay configurable</t>
  </si>
  <si>
    <t xml:space="preserve">Phase 1 hardcode 5 role base. Phase 2 role-based config Sapo-style</t>
  </si>
  <si>
    <t xml:space="preserve">NP scale 5 NV không cần full role engine. Defer khi scale &gt; 30 NV</t>
  </si>
  <si>
    <t xml:space="preserve">B4 R-9-2</t>
  </si>
  <si>
    <t xml:space="preserve">D-007</t>
  </si>
  <si>
    <t xml:space="preserve">Auth method</t>
  </si>
  <si>
    <t xml:space="preserve">Password vs OTP</t>
  </si>
  <si>
    <t xml:space="preserve">SĐT + OTP qua Zalo OA, fallback SMS. KHÔNG có password</t>
  </si>
  <si>
    <t xml:space="preserve">OTP đơn giản hơn password (không reset, không quên). VN users quen OTP</t>
  </si>
  <si>
    <t xml:space="preserve">B5.2 S-Login</t>
  </si>
  <si>
    <t xml:space="preserve">D-008</t>
  </si>
  <si>
    <t xml:space="preserve">Switch device 2nd factor</t>
  </si>
  <si>
    <t xml:space="preserve">Có cần email/voice confirm khi switch device không</t>
  </si>
  <si>
    <t xml:space="preserve">Bỏ 2nd factor. Chỉ OTP + notify CEO/TC</t>
  </si>
  <si>
    <t xml:space="preserve">NP scale 5 NV biết nhau. Cost dev voice/email cao, value thấp</t>
  </si>
  <si>
    <t xml:space="preserve">B5.2 §1.6</t>
  </si>
  <si>
    <t xml:space="preserve">D-009</t>
  </si>
  <si>
    <t xml:space="preserve">Pay slip distribution</t>
  </si>
  <si>
    <t xml:space="preserve">App auto gửi pay slip hay KT tự lo</t>
  </si>
  <si>
    <t xml:space="preserve">KT trưởng (Diễm) tự lo pay slip distribution. App KHÔNG gửi</t>
  </si>
  <si>
    <t xml:space="preserve">App chỉ tính HH. Distribution là việc của Diễm (Zalo cá nhân, email tùy)</t>
  </si>
  <si>
    <t xml:space="preserve">D-010</t>
  </si>
  <si>
    <t xml:space="preserve">Lương cứng quản lý</t>
  </si>
  <si>
    <t xml:space="preserve">App quản lý lương cứng + HH hay chỉ HH</t>
  </si>
  <si>
    <t xml:space="preserve">App chỉ quản lý HH. Lương cứng quản lý ngoài (Misa)</t>
  </si>
  <si>
    <t xml:space="preserve">Scope rõ ràng. App HH = HH only</t>
  </si>
  <si>
    <t xml:space="preserve">B5.1 MS-12 Q-MS12-A</t>
  </si>
  <si>
    <t xml:space="preserve">D-011</t>
  </si>
  <si>
    <t xml:space="preserve">Khiếu nại flow CEO involve</t>
  </si>
  <si>
    <t xml:space="preserve">CEO có duyệt khiếu nại CR không</t>
  </si>
  <si>
    <t xml:space="preserve">KHÔNG. KT (Diễm) quyết định alone (revert hoặc giữ reject)</t>
  </si>
  <si>
    <t xml:space="preserve">Operational decision của KT. CEO không micro-manage CR review</t>
  </si>
  <si>
    <t xml:space="preserve">D-012</t>
  </si>
  <si>
    <t xml:space="preserve">ĐD-Sale role</t>
  </si>
  <si>
    <t xml:space="preserve">ĐD và Sale tách 2 row hay gộp 1</t>
  </si>
  <si>
    <t xml:space="preserve">1 role duy nhất (Sale). Không tách ĐD ra row riêng</t>
  </si>
  <si>
    <t xml:space="preserve">NV ĐD-Sale là cùng người. Đơn giản 1 row, 1 %HH</t>
  </si>
  <si>
    <t xml:space="preserve">B1 §3.3 vòng 14</t>
  </si>
  <si>
    <t xml:space="preserve">D-013</t>
  </si>
  <si>
    <t xml:space="preserve">Ranking visibility</t>
  </si>
  <si>
    <t xml:space="preserve">NV thấy full leaderboard hay chỉ của mình</t>
  </si>
  <si>
    <t xml:space="preserve">NV/BS chỉ thấy ranking của mình. TC/KT/CEO thấy full leaderboard</t>
  </si>
  <si>
    <t xml:space="preserve">Tránh demotivate NV M0 khi thấy NV M3 top</t>
  </si>
  <si>
    <t xml:space="preserve">B1 §7 vòng 14</t>
  </si>
  <si>
    <t xml:space="preserve">D-014</t>
  </si>
  <si>
    <t xml:space="preserve">Shift architecture</t>
  </si>
  <si>
    <t xml:space="preserve">Hardcode 1 shift hay configurable</t>
  </si>
  <si>
    <t xml:space="preserve">Phương án J: F + extension hooks. Day-1 1 shift, future-ready multi-shift</t>
  </si>
  <si>
    <t xml:space="preserve">Architecture additive. Không phá schema khi mở rộng</t>
  </si>
  <si>
    <t xml:space="preserve">2026-04-25</t>
  </si>
  <si>
    <t xml:space="preserve">ADR-001</t>
  </si>
  <si>
    <t xml:space="preserve">D-015</t>
  </si>
  <si>
    <t xml:space="preserve">PDF anh Nguyên scope</t>
  </si>
  <si>
    <t xml:space="preserve">Implement toàn bộ PDF features hay defer</t>
  </si>
  <si>
    <t xml:space="preserve">Defer toàn bộ PDF features sang Phase 2. Foundation B1-B5 đủ cho NP scale</t>
  </si>
  <si>
    <t xml:space="preserve">Penalty/Awards/Floor manual workaround qua MS-9 đủ. Auto features overkill cho 5 NV</t>
  </si>
  <si>
    <t xml:space="preserve">B6 §5.4</t>
  </si>
  <si>
    <t xml:space="preserve">D-016</t>
  </si>
  <si>
    <t xml:space="preserve">Bulk approve cycle</t>
  </si>
  <si>
    <t xml:space="preserve">Bulk-all 1 click duyệt toàn cycle CR</t>
  </si>
  <si>
    <t xml:space="preserve">CÓ bulk-all với safety: confirm dialog + typing "DUYỆT" + audit log</t>
  </si>
  <si>
    <t xml:space="preserve">Diễm efficiency cao hơn risk</t>
  </si>
  <si>
    <t xml:space="preserve">B5.3 §3.13 B-4</t>
  </si>
  <si>
    <t xml:space="preserve">D-017</t>
  </si>
  <si>
    <t xml:space="preserve">Bonus formula HH gốc vs lương cứng</t>
  </si>
  <si>
    <t xml:space="preserve">Bonus base lương cứng hay HH</t>
  </si>
  <si>
    <t xml:space="preserve">App không quản lý lương cứng. HH gốc là available data</t>
  </si>
  <si>
    <t xml:space="preserve">External Integrations Status</t>
  </si>
  <si>
    <t xml:space="preserve">ISOFT (EMR/POS)</t>
  </si>
  <si>
    <t xml:space="preserve">⚠️ Pending contract</t>
  </si>
  <si>
    <t xml:space="preserve">Contact name</t>
  </si>
  <si>
    <t xml:space="preserve">(điền sau)</t>
  </si>
  <si>
    <t xml:space="preserve">Contact email</t>
  </si>
  <si>
    <t xml:space="preserve">Contact phone</t>
  </si>
  <si>
    <t xml:space="preserve">Webhook URL</t>
  </si>
  <si>
    <t xml:space="preserve">(điền sau khi setup)</t>
  </si>
  <si>
    <t xml:space="preserve">Authentication</t>
  </si>
  <si>
    <t xml:space="preserve">(TBD)</t>
  </si>
  <si>
    <t xml:space="preserve">Events supported</t>
  </si>
  <si>
    <t xml:space="preserve">(chờ confirm)</t>
  </si>
  <si>
    <t xml:space="preserve">Events cần</t>
  </si>
  <si>
    <t xml:space="preserve">order.checkin, order.exam_started, order.completed, order.refunded, order.cancelled, order.adjusted</t>
  </si>
  <si>
    <t xml:space="preserve">Last contact date</t>
  </si>
  <si>
    <t xml:space="preserve">(chưa)</t>
  </si>
  <si>
    <t xml:space="preserve">Next action</t>
  </si>
  <si>
    <t xml:space="preserve">Send template message từ PENDING-ITEMS section A</t>
  </si>
  <si>
    <t xml:space="preserve">BLOCKER M4. Phụ thuộc payload đầy đủ (performed_by_user_id, recall_due_date)</t>
  </si>
  <si>
    <t xml:space="preserve">ZALO OA</t>
  </si>
  <si>
    <t xml:space="preserve">⚠️ Not registered</t>
  </si>
  <si>
    <t xml:space="preserve">OA ID</t>
  </si>
  <si>
    <t xml:space="preserve">(chưa có)</t>
  </si>
  <si>
    <t xml:space="preserve">Verified</t>
  </si>
  <si>
    <t xml:space="preserve">❌ chưa</t>
  </si>
  <si>
    <t xml:space="preserve">Templates approved</t>
  </si>
  <si>
    <t xml:space="preserve">0/4</t>
  </si>
  <si>
    <t xml:space="preserve">Template reminder_24h</t>
  </si>
  <si>
    <t xml:space="preserve">❌ pending approve</t>
  </si>
  <si>
    <t xml:space="preserve">Template reminder_2h</t>
  </si>
  <si>
    <t xml:space="preserve">Template post_exam_thanks</t>
  </si>
  <si>
    <t xml:space="preserve">Template recall</t>
  </si>
  <si>
    <t xml:space="preserve">Setup steps</t>
  </si>
  <si>
    <t xml:space="preserve">1. oa.zalo.me đăng ký 2. Upload giấy phép NP 3. Wait verify 1-2 tuần 4. Setup template 5. Wait template approve 1-2 tuần</t>
  </si>
  <si>
    <t xml:space="preserve">NP đăng ký Zalo OA ngay tuần này</t>
  </si>
  <si>
    <t xml:space="preserve">BLOCKER M1 (Login OTP) + M4 (Reminder)</t>
  </si>
  <si>
    <t xml:space="preserve">BANK</t>
  </si>
  <si>
    <t xml:space="preserve">⏳ Awaiting NP info</t>
  </si>
  <si>
    <t xml:space="preserve">Bank name</t>
  </si>
  <si>
    <t xml:space="preserve">Account</t>
  </si>
  <si>
    <t xml:space="preserve">Transfer file format</t>
  </si>
  <si>
    <t xml:space="preserve">Generic Excel (Diễm tự nhập tay)</t>
  </si>
  <si>
    <t xml:space="preserve">Phase 2 có thể auto-upload theo bank format cụ thể</t>
  </si>
  <si>
    <t xml:space="preserve">MISA (kế toán)</t>
  </si>
  <si>
    <t xml:space="preserve">✅ Out of scope</t>
  </si>
  <si>
    <t xml:space="preserve">Used by</t>
  </si>
  <si>
    <t xml:space="preserve">Diễm (KT)</t>
  </si>
  <si>
    <t xml:space="preserve">❌ KHÔNG integrate với app HH</t>
  </si>
  <si>
    <t xml:space="preserve">Workflow</t>
  </si>
  <si>
    <t xml:space="preserve">Diễm export Excel từ app HH → đối soát manual với Misa hằng tháng</t>
  </si>
  <si>
    <t xml:space="preserve">Manual đối soát đủ cho NP scale 5 NV</t>
  </si>
  <si>
    <t xml:space="preserve">Project Timeline (24 weeks, 2 devs parallel)</t>
  </si>
  <si>
    <t xml:space="preserve">Name</t>
  </si>
  <si>
    <t xml:space="preserve">Start week</t>
  </si>
  <si>
    <t xml:space="preserve">End week</t>
  </si>
  <si>
    <t xml:space="preserve">Duration (weeks)</t>
  </si>
  <si>
    <t xml:space="preserve">Gate criteria</t>
  </si>
  <si>
    <t xml:space="preserve">Foundation</t>
  </si>
  <si>
    <t xml:space="preserve">Setup + Auth + Permission base</t>
  </si>
  <si>
    <t xml:space="preserve">Demo login + permission cho anh Nguyên</t>
  </si>
  <si>
    <t xml:space="preserve">Not started</t>
  </si>
  <si>
    <t xml:space="preserve">Core HH Engine</t>
  </si>
  <si>
    <t xml:space="preserve">Order lifecycle + HH calculation + CR workflow</t>
  </si>
  <si>
    <t xml:space="preserve">Demo end-to-end "tạo đơn → ăn HH"</t>
  </si>
  <si>
    <t xml:space="preserve">Adjustment + Pay Cycle</t>
  </si>
  <si>
    <t xml:space="preserve">Adjustment workflow + Pay cycle + Excel export</t>
  </si>
  <si>
    <t xml:space="preserve">Diễm test 1 cycle với data fake</t>
  </si>
  <si>
    <t xml:space="preserve">Integrations + Admin</t>
  </si>
  <si>
    <t xml:space="preserve">Isoft webhooks + Zalo OA + Admin screens full</t>
  </si>
  <si>
    <t xml:space="preserve">Test integration Isoft + Zalo OA staging</t>
  </si>
  <si>
    <t xml:space="preserve">Customer Engagement + Polish</t>
  </si>
  <si>
    <t xml:space="preserve">Customer follow-up + Shift + Polish + Reuse</t>
  </si>
  <si>
    <t xml:space="preserve">UAT internal team (Diễm + Hà + 1 NV)</t>
  </si>
  <si>
    <t xml:space="preserve">Testing + UAT + Pilot 2 tuần + Cutover + Hot-fix</t>
  </si>
  <si>
    <t xml:space="preserve">Anh Nguyên approve go-live</t>
  </si>
  <si>
    <t xml:space="preserve">Post</t>
  </si>
  <si>
    <t xml:space="preserve">Stabilization + Acceptance</t>
  </si>
  <si>
    <t xml:space="preserve">Run kì lương đầu, retro, plan phase 2, sign-off</t>
  </si>
  <si>
    <t xml:space="preserve">Anh Nguyên ký nghiệm thu</t>
  </si>
  <si>
    <t xml:space="preserve">Simplified Gantt (mỗi █ = 1 tuần)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</si>
  <si>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</si>
  <si>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</si>
  <si>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</si>
  <si>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</si>
  <si>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</si>
  <si>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</si>
  <si>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</si>
  <si>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</si>
  <si>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</si>
  <si>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</si>
  <si>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</si>
  <si>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</si>
  <si>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</si>
  <si>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</si>
  <si>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</si>
  <si>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</si>
  <si>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</si>
  <si>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</si>
  <si>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</si>
  <si>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</si>
  <si>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</si>
  <si>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</si>
  <si>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</si>
  <si>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</si>
  <si>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</si>
  <si>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</si>
  <si>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</si>
  <si>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</si>
  <si>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█</t>
  </si>
  <si>
    <t xml:space="preserve">References + Glossary</t>
  </si>
  <si>
    <t xml:space="preserve">AUDIT DOCS (16 files trong audit-docs/)</t>
  </si>
  <si>
    <t xml:space="preserve">File</t>
  </si>
  <si>
    <t xml:space="preserve">B1-bien-ban-context.md</t>
  </si>
  <si>
    <t xml:space="preserve">Context, business model, formula, entity dictionary</t>
  </si>
  <si>
    <t xml:space="preserve">FINAL v16</t>
  </si>
  <si>
    <t xml:space="preserve">B2-kich-ban-van-hanh.md</t>
  </si>
  <si>
    <t xml:space="preserve">5 personas + workflow</t>
  </si>
  <si>
    <t xml:space="preserve">FINAL</t>
  </si>
  <si>
    <t xml:space="preserve">B2-2-bpmn-flowchart.md</t>
  </si>
  <si>
    <t xml:space="preserve">BPMN + state machines (Order, CR, Adjustment)</t>
  </si>
  <si>
    <t xml:space="preserve">FINAL v3</t>
  </si>
  <si>
    <t xml:space="preserve">B2-3-edge-cases.md</t>
  </si>
  <si>
    <t xml:space="preserve">13 scenarios edge case + technical edge cases</t>
  </si>
  <si>
    <t xml:space="preserve">FINAL v2</t>
  </si>
  <si>
    <t xml:space="preserve">B2-4-pay-cycle.md</t>
  </si>
  <si>
    <t xml:space="preserve">Pay cycle ngày 5 chi tiết</t>
  </si>
  <si>
    <t xml:space="preserve">B3-screen-audit.md</t>
  </si>
  <si>
    <t xml:space="preserve">Audit 25 existing screens</t>
  </si>
  <si>
    <t xml:space="preserve">B4-business-rules.md</t>
  </si>
  <si>
    <t xml:space="preserve">~75 business rules consolidate</t>
  </si>
  <si>
    <t xml:space="preserve">B5-1-screen-specs-batch-1.md</t>
  </si>
  <si>
    <t xml:space="preserve">4 missing screens HIGH (MS-2, MS-9, MS-10, MS-12)</t>
  </si>
  <si>
    <t xml:space="preserve">B5-2-screen-specs-batch-2.md</t>
  </si>
  <si>
    <t xml:space="preserve">3 screen rewrite (Login, Admin-Staff, Admin-Settings)</t>
  </si>
  <si>
    <t xml:space="preserve">B5-3-screen-specs-batch-3.md</t>
  </si>
  <si>
    <t xml:space="preserve">3 screen update (Income, Order-Detail, Admin-Commission)</t>
  </si>
  <si>
    <t xml:space="preserve">B5-4-screen-specs-batch-4.md</t>
  </si>
  <si>
    <t xml:space="preserve">3 new + 1 ranking (Shift, Auto Rule, Customer Follow-up)</t>
  </si>
  <si>
    <t xml:space="preserve">B5-5-screen-specs-batch-5.md</t>
  </si>
  <si>
    <t xml:space="preserve">5 cleanup screens (Success, Notification, Handover, etc.)</t>
  </si>
  <si>
    <t xml:space="preserve">B6-implementation-plan.md</t>
  </si>
  <si>
    <t xml:space="preserve">Plan thực thi: cost, risks, milestones, action items</t>
  </si>
  <si>
    <t xml:space="preserve">ADR-001-truong-ca-architecture.md</t>
  </si>
  <si>
    <t xml:space="preserve">Shift architecture phương án J</t>
  </si>
  <si>
    <t xml:space="preserve">Accepted</t>
  </si>
  <si>
    <t xml:space="preserve">PENDING-ITEMS.md</t>
  </si>
  <si>
    <t xml:space="preserve">Open questions + actions (living doc)</t>
  </si>
  <si>
    <t xml:space="preserve">Living</t>
  </si>
  <si>
    <t xml:space="preserve">NP-AppHH-MasterTracker.xlsx</t>
  </si>
  <si>
    <t xml:space="preserve">This file (master execution tracker)</t>
  </si>
  <si>
    <t xml:space="preserve">GLOSSARY</t>
  </si>
  <si>
    <t xml:space="preserve">Term</t>
  </si>
  <si>
    <t xml:space="preserve">Meaning</t>
  </si>
  <si>
    <t xml:space="preserve">NP</t>
  </si>
  <si>
    <t xml:space="preserve">Phòng khám Nguyên Phương</t>
  </si>
  <si>
    <t xml:space="preserve">HH</t>
  </si>
  <si>
    <t xml:space="preserve">Hoa Hồng (commission)</t>
  </si>
  <si>
    <t xml:space="preserve">CommissionRecord (record HH per role per đơn)</t>
  </si>
  <si>
    <t xml:space="preserve">KT</t>
  </si>
  <si>
    <t xml:space="preserve">Kế Toán (Diễm)</t>
  </si>
  <si>
    <t xml:space="preserve">TC</t>
  </si>
  <si>
    <t xml:space="preserve">Trưởng Ca (Hà)</t>
  </si>
  <si>
    <t xml:space="preserve">BS</t>
  </si>
  <si>
    <t xml:space="preserve">Bác Sĩ</t>
  </si>
  <si>
    <t xml:space="preserve">NV</t>
  </si>
  <si>
    <t xml:space="preserve">Nhân Viên (general)</t>
  </si>
  <si>
    <t xml:space="preserve">ĐD</t>
  </si>
  <si>
    <t xml:space="preserve">Điều Dưỡng</t>
  </si>
  <si>
    <t xml:space="preserve">ĐD-Sale</t>
  </si>
  <si>
    <t xml:space="preserve">Điều dưỡng kiêm Sale (1 role gộp)</t>
  </si>
  <si>
    <t xml:space="preserve">CEO</t>
  </si>
  <si>
    <t xml:space="preserve">Chief Executive Officer (anh Nguyên)</t>
  </si>
  <si>
    <t xml:space="preserve">SLA</t>
  </si>
  <si>
    <t xml:space="preserve">Service Level Agreement (cam kết chất lượng dịch vụ)</t>
  </si>
  <si>
    <t xml:space="preserve">OTP</t>
  </si>
  <si>
    <t xml:space="preserve">One-Time Password (mã xác thực 1 lần)</t>
  </si>
  <si>
    <t xml:space="preserve">OA</t>
  </si>
  <si>
    <t xml:space="preserve">Official Account (Zalo OA)</t>
  </si>
  <si>
    <t xml:space="preserve">BHYT</t>
  </si>
  <si>
    <t xml:space="preserve">Bảo Hiểm Y Tế (insurance)</t>
  </si>
  <si>
    <t xml:space="preserve">OOP</t>
  </si>
  <si>
    <t xml:space="preserve">Out-Of-Pocket (tiền khách trả ra túi)</t>
  </si>
  <si>
    <t xml:space="preserve">Isoft</t>
  </si>
  <si>
    <t xml:space="preserve">EMR/POS system NP đang dùng cho lifecycle đơn</t>
  </si>
  <si>
    <t xml:space="preserve">MVP</t>
  </si>
  <si>
    <t xml:space="preserve">Minimum Viable Product</t>
  </si>
  <si>
    <t xml:space="preserve">UAT</t>
  </si>
  <si>
    <t xml:space="preserve">User Acceptance Test</t>
  </si>
  <si>
    <t xml:space="preserve">CRUD</t>
  </si>
  <si>
    <t xml:space="preserve">Create-Read-Update-Delete</t>
  </si>
  <si>
    <t xml:space="preserve">OrderRoleAssignment</t>
  </si>
  <si>
    <t xml:space="preserve">Bảng track ai có HH role gì trên đơn nào</t>
  </si>
  <si>
    <t xml:space="preserve">SalaryCycle</t>
  </si>
  <si>
    <t xml:space="preserve">Kì lương (1 tháng dương lịch)</t>
  </si>
  <si>
    <t xml:space="preserve">Clawback</t>
  </si>
  <si>
    <t xml:space="preserve">Trừ lại HH đã chi khi refund/edit adjustment</t>
  </si>
  <si>
    <t xml:space="preserve">Snapshot pattern</t>
  </si>
  <si>
    <t xml:space="preserve">Lưu giá trị tại thời điểm để tránh ảnh hưởng khi setting đổi sau</t>
  </si>
  <si>
    <t xml:space="preserve">Phương án J</t>
  </si>
  <si>
    <t xml:space="preserve">Shift architecture: F (configurable shift) + extension hooks (priority + condition JSON)</t>
  </si>
  <si>
    <t xml:space="preserve">EXTERNAL RESOURCES</t>
  </si>
  <si>
    <t xml:space="preserve">Resource</t>
  </si>
  <si>
    <t xml:space="preserve">Link / Info</t>
  </si>
  <si>
    <t xml:space="preserve">Zalo OA Studio</t>
  </si>
  <si>
    <t xml:space="preserve">https://oa.zalo.me</t>
  </si>
  <si>
    <t xml:space="preserve">Isoft contact</t>
  </si>
  <si>
    <t xml:space="preserve">(điền sau khi anh Phú liên hệ)</t>
  </si>
  <si>
    <t xml:space="preserve">Bank info</t>
  </si>
  <si>
    <t xml:space="preserve">(điền sau khi NP confirm)</t>
  </si>
  <si>
    <t xml:space="preserve">Hosting / VPS</t>
  </si>
  <si>
    <t xml:space="preserve">Code repo</t>
  </si>
  <si>
    <t xml:space="preserve">(điền khi dev start)</t>
  </si>
  <si>
    <t xml:space="preserve">Staging URL</t>
  </si>
  <si>
    <t xml:space="preserve">(điền sau khi deploy)</t>
  </si>
  <si>
    <t xml:space="preserve">Production URL</t>
  </si>
  <si>
    <t xml:space="preserve">(điền sau khi launch)</t>
  </si>
  <si>
    <t xml:space="preserve">Project tracker (ClickUp)</t>
  </si>
  <si>
    <t xml:space="preserve">(điền link)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</si>
</sst>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C7CE"/>
        <bgColor rgb="FFFFE4B5"/>
      </patternFill>
    </fill>
    <fill>
      <patternFill patternType="solid">
        <fgColor rgb="FFFFEB9C"/>
        <bgColor rgb="FFFFE4B5"/>
      </patternFill>
    </fill>
    <fill>
      <patternFill patternType="solid">
        <fgColor rgb="FFC6EFCE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E4B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4B5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4" min="3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5</v>
      </c>
    </row>
    <row r="7" customFormat="false" ht="15" hidden="false" customHeight="false" outlineLevel="0" collapsed="false">
      <c r="A7" s="3" t="s">
        <v>7</v>
      </c>
      <c r="B7" s="4" t="s">
        <v>5</v>
      </c>
    </row>
    <row r="9" customFormat="false" ht="15" hidden="false" customHeight="false" outlineLevel="0" collapsed="false">
      <c r="A9" s="2" t="s">
        <v>8</v>
      </c>
      <c r="B9" s="2"/>
      <c r="C9" s="2"/>
      <c r="D9" s="2"/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</row>
    <row r="11" customFormat="false" ht="15" hidden="false" customHeight="false" outlineLevel="0" collapsed="false">
      <c r="A11" s="0" t="s">
        <v>12</v>
      </c>
      <c r="B11" s="0" t="n">
        <f aca="false">COUNTIF('2. Tasks'!G:G,"Done")</f>
        <v>0</v>
      </c>
      <c r="C11" s="6" t="n">
        <f aca="false">IFERROR(B11/SUM(B$11:B$16),0)</f>
        <v>0</v>
      </c>
    </row>
    <row r="12" customFormat="false" ht="15" hidden="false" customHeight="false" outlineLevel="0" collapsed="false">
      <c r="A12" s="0" t="s">
        <v>13</v>
      </c>
      <c r="B12" s="0" t="n">
        <f aca="false">COUNTIF('2. Tasks'!G:G,"Doing")</f>
        <v>0</v>
      </c>
      <c r="C12" s="6" t="n">
        <f aca="false">IFERROR(B12/SUM(B$11:B$16),0)</f>
        <v>0</v>
      </c>
    </row>
    <row r="13" customFormat="false" ht="15" hidden="false" customHeight="false" outlineLevel="0" collapsed="false">
      <c r="A13" s="0" t="s">
        <v>14</v>
      </c>
      <c r="B13" s="0" t="n">
        <f aca="false">COUNTIF('2. Tasks'!G:G,"Review")</f>
        <v>0</v>
      </c>
      <c r="C13" s="6" t="n">
        <f aca="false">IFERROR(B13/SUM(B$11:B$16),0)</f>
        <v>0</v>
      </c>
    </row>
    <row r="14" customFormat="false" ht="15" hidden="false" customHeight="false" outlineLevel="0" collapsed="false">
      <c r="A14" s="0" t="s">
        <v>15</v>
      </c>
      <c r="B14" s="0" t="n">
        <f aca="false">COUNTIF('2. Tasks'!G:G,"Ready")</f>
        <v>0</v>
      </c>
      <c r="C14" s="6" t="n">
        <f aca="false">IFERROR(B14/SUM(B$11:B$16),0)</f>
        <v>0</v>
      </c>
    </row>
    <row r="15" customFormat="false" ht="15" hidden="false" customHeight="false" outlineLevel="0" collapsed="false">
      <c r="A15" s="0" t="s">
        <v>16</v>
      </c>
      <c r="B15" s="0" t="n">
        <f aca="false">COUNTIF('2. Tasks'!G:G,"Todo")</f>
        <v>92</v>
      </c>
      <c r="C15" s="6" t="n">
        <f aca="false">IFERROR(B15/SUM(B$11:B$16),0)</f>
        <v>1</v>
      </c>
    </row>
    <row r="16" customFormat="false" ht="15" hidden="false" customHeight="false" outlineLevel="0" collapsed="false">
      <c r="A16" s="0" t="s">
        <v>17</v>
      </c>
      <c r="B16" s="0" t="n">
        <f aca="false">COUNTIF('2. Tasks'!G:G,"Blocked")</f>
        <v>0</v>
      </c>
      <c r="C16" s="6" t="n">
        <f aca="false">IFERROR(B16/SUM(B$11:B$16),0)</f>
        <v>0</v>
      </c>
    </row>
    <row r="17" customFormat="false" ht="15" hidden="false" customHeight="false" outlineLevel="0" collapsed="false">
      <c r="A17" s="3" t="s">
        <v>18</v>
      </c>
      <c r="B17" s="3" t="n">
        <f aca="false">SUM(B11:B16)</f>
        <v>92</v>
      </c>
    </row>
    <row r="19" customFormat="false" ht="15" hidden="false" customHeight="false" outlineLevel="0" collapsed="false">
      <c r="A19" s="2" t="s">
        <v>19</v>
      </c>
      <c r="B19" s="2"/>
      <c r="C19" s="2"/>
      <c r="D19" s="2"/>
    </row>
    <row r="20" customFormat="false" ht="15" hidden="false" customHeight="false" outlineLevel="0" collapsed="false">
      <c r="A20" s="5" t="s">
        <v>20</v>
      </c>
      <c r="B20" s="5" t="s">
        <v>21</v>
      </c>
      <c r="C20" s="5" t="s">
        <v>12</v>
      </c>
      <c r="D20" s="5" t="s">
        <v>11</v>
      </c>
    </row>
    <row r="21" customFormat="false" ht="15" hidden="false" customHeight="false" outlineLevel="0" collapsed="false">
      <c r="A21" s="0" t="s">
        <v>22</v>
      </c>
      <c r="B21" s="0" t="n">
        <f aca="false">COUNTIF('2. Tasks'!F:F,"P0")</f>
        <v>46</v>
      </c>
      <c r="C21" s="0" t="n">
        <f aca="false">COUNTIFS('2. Tasks'!F:F,"P0",'2. Tasks'!G:G,"Done")</f>
        <v>0</v>
      </c>
      <c r="D21" s="6" t="n">
        <f aca="false">IFERROR(C21/B21,0)</f>
        <v>0</v>
      </c>
    </row>
    <row r="22" customFormat="false" ht="15" hidden="false" customHeight="false" outlineLevel="0" collapsed="false">
      <c r="A22" s="0" t="s">
        <v>23</v>
      </c>
      <c r="B22" s="0" t="n">
        <f aca="false">COUNTIF('2. Tasks'!F:F,"P1")</f>
        <v>32</v>
      </c>
      <c r="C22" s="0" t="n">
        <f aca="false">COUNTIFS('2. Tasks'!F:F,"P1",'2. Tasks'!G:G,"Done")</f>
        <v>0</v>
      </c>
      <c r="D22" s="6" t="n">
        <f aca="false">IFERROR(C22/B22,0)</f>
        <v>0</v>
      </c>
    </row>
    <row r="23" customFormat="false" ht="15" hidden="false" customHeight="false" outlineLevel="0" collapsed="false">
      <c r="A23" s="0" t="s">
        <v>24</v>
      </c>
      <c r="B23" s="0" t="n">
        <f aca="false">COUNTIF('2. Tasks'!F:F,"P2")</f>
        <v>12</v>
      </c>
      <c r="C23" s="0" t="n">
        <f aca="false">COUNTIFS('2. Tasks'!F:F,"P2",'2. Tasks'!G:G,"Done")</f>
        <v>0</v>
      </c>
      <c r="D23" s="6" t="n">
        <f aca="false">IFERROR(C23/B23,0)</f>
        <v>0</v>
      </c>
    </row>
    <row r="24" customFormat="false" ht="15" hidden="false" customHeight="false" outlineLevel="0" collapsed="false">
      <c r="A24" s="0" t="s">
        <v>25</v>
      </c>
      <c r="B24" s="0" t="n">
        <f aca="false">COUNTIF('2. Tasks'!F:F,"P3")</f>
        <v>2</v>
      </c>
      <c r="C24" s="0" t="n">
        <f aca="false">COUNTIFS('2. Tasks'!F:F,"P3",'2. Tasks'!G:G,"Done")</f>
        <v>0</v>
      </c>
      <c r="D24" s="6" t="n">
        <f aca="false">IFERROR(C24/B24,0)</f>
        <v>0</v>
      </c>
    </row>
    <row r="26" customFormat="false" ht="15" hidden="false" customHeight="false" outlineLevel="0" collapsed="false">
      <c r="A26" s="2" t="s">
        <v>26</v>
      </c>
      <c r="B26" s="2"/>
      <c r="C26" s="2"/>
      <c r="D26" s="2"/>
    </row>
    <row r="27" customFormat="false" ht="15" hidden="false" customHeight="false" outlineLevel="0" collapsed="false">
      <c r="A27" s="3" t="s">
        <v>27</v>
      </c>
      <c r="B27" s="0" t="n">
        <f aca="false">COUNTIFS('5. Risks'!F:F,"HIGH",'5. Risks'!I:I,"Active")</f>
        <v>3</v>
      </c>
    </row>
    <row r="28" customFormat="false" ht="15" hidden="false" customHeight="false" outlineLevel="0" collapsed="false">
      <c r="A28" s="3" t="s">
        <v>28</v>
      </c>
      <c r="B28" s="0" t="n">
        <f aca="false">COUNTIFS('5. Risks'!F:F,"MEDIUM",'5. Risks'!I:I,"Active")</f>
        <v>3</v>
      </c>
    </row>
    <row r="29" customFormat="false" ht="15" hidden="false" customHeight="false" outlineLevel="0" collapsed="false">
      <c r="A29" s="3" t="s">
        <v>29</v>
      </c>
      <c r="B29" s="0" t="n">
        <f aca="false">COUNTIFS('5. Risks'!F:F,"LOW",'5. Risks'!I:I,"Active")</f>
        <v>0</v>
      </c>
    </row>
    <row r="31" customFormat="false" ht="15" hidden="false" customHeight="false" outlineLevel="0" collapsed="false">
      <c r="A31" s="2" t="s">
        <v>30</v>
      </c>
      <c r="B31" s="2"/>
      <c r="C31" s="2"/>
      <c r="D31" s="2"/>
    </row>
    <row r="32" customFormat="false" ht="15" hidden="false" customHeight="false" outlineLevel="0" collapsed="false">
      <c r="A32" s="3" t="s">
        <v>31</v>
      </c>
      <c r="B32" s="0" t="n">
        <f aca="false">COUNTIFS('4. Bugs'!C:C,"P0",'4. Bugs'!J:J,"&lt;&gt;Closed")</f>
        <v>0</v>
      </c>
    </row>
    <row r="33" customFormat="false" ht="15" hidden="false" customHeight="false" outlineLevel="0" collapsed="false">
      <c r="A33" s="3" t="s">
        <v>32</v>
      </c>
      <c r="B33" s="0" t="n">
        <f aca="false">COUNTIFS('4. Bugs'!C:C,"P1",'4. Bugs'!J:J,"&lt;&gt;Closed")</f>
        <v>0</v>
      </c>
    </row>
    <row r="34" customFormat="false" ht="15" hidden="false" customHeight="false" outlineLevel="0" collapsed="false">
      <c r="A34" s="3" t="s">
        <v>33</v>
      </c>
      <c r="B34" s="0" t="n">
        <f aca="false">COUNTIF('4. Bugs'!J:J,"&lt;&gt;Closed")-COUNTBLANK('4. Bugs'!J:J)</f>
        <v>2</v>
      </c>
    </row>
    <row r="36" customFormat="false" ht="15" hidden="false" customHeight="false" outlineLevel="0" collapsed="false">
      <c r="A36" s="2" t="s">
        <v>34</v>
      </c>
      <c r="B36" s="2"/>
      <c r="C36" s="2"/>
      <c r="D36" s="2"/>
    </row>
    <row r="37" customFormat="false" ht="15" hidden="false" customHeight="false" outlineLevel="0" collapsed="false">
      <c r="A37" s="4" t="s">
        <v>35</v>
      </c>
    </row>
  </sheetData>
  <mergeCells count="7">
    <mergeCell ref="A1:D1"/>
    <mergeCell ref="A3:D3"/>
    <mergeCell ref="A9:D9"/>
    <mergeCell ref="A19:D19"/>
    <mergeCell ref="A26:D26"/>
    <mergeCell ref="A31:D3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2" min="12" style="0" width="18"/>
    <col collapsed="false" customWidth="true" hidden="false" outlineLevel="0" max="13" min="13" style="0" width="50"/>
  </cols>
  <sheetData>
    <row r="1" customFormat="false" ht="26.8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20</v>
      </c>
      <c r="G1" s="5" t="s">
        <v>9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</row>
    <row r="2" customFormat="false" ht="15" hidden="false" customHeight="false" outlineLevel="0" collapsed="false">
      <c r="A2" s="7" t="s">
        <v>47</v>
      </c>
      <c r="B2" s="7" t="s">
        <v>48</v>
      </c>
      <c r="C2" s="7" t="s">
        <v>49</v>
      </c>
      <c r="D2" s="7" t="s">
        <v>50</v>
      </c>
      <c r="E2" s="7" t="s">
        <v>49</v>
      </c>
      <c r="F2" s="7" t="s">
        <v>51</v>
      </c>
      <c r="G2" s="7" t="s">
        <v>16</v>
      </c>
      <c r="H2" s="7"/>
      <c r="I2" s="7" t="s">
        <v>52</v>
      </c>
      <c r="J2" s="7" t="n">
        <v>2</v>
      </c>
      <c r="K2" s="7"/>
      <c r="L2" s="7"/>
      <c r="M2" s="7" t="s">
        <v>53</v>
      </c>
    </row>
    <row r="3" customFormat="false" ht="15" hidden="false" customHeight="false" outlineLevel="0" collapsed="false">
      <c r="A3" s="7" t="s">
        <v>54</v>
      </c>
      <c r="B3" s="7" t="s">
        <v>55</v>
      </c>
      <c r="C3" s="7" t="s">
        <v>49</v>
      </c>
      <c r="D3" s="7" t="s">
        <v>50</v>
      </c>
      <c r="E3" s="7" t="s">
        <v>49</v>
      </c>
      <c r="F3" s="7" t="s">
        <v>51</v>
      </c>
      <c r="G3" s="7" t="s">
        <v>16</v>
      </c>
      <c r="H3" s="7"/>
      <c r="I3" s="7" t="s">
        <v>52</v>
      </c>
      <c r="J3" s="7" t="n">
        <v>2</v>
      </c>
      <c r="K3" s="7"/>
      <c r="L3" s="7" t="s">
        <v>47</v>
      </c>
      <c r="M3" s="7"/>
    </row>
    <row r="4" customFormat="false" ht="15" hidden="false" customHeight="false" outlineLevel="0" collapsed="false">
      <c r="A4" s="7" t="s">
        <v>56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51</v>
      </c>
      <c r="G4" s="7" t="s">
        <v>16</v>
      </c>
      <c r="H4" s="7"/>
      <c r="I4" s="7" t="s">
        <v>52</v>
      </c>
      <c r="J4" s="7" t="n">
        <v>5</v>
      </c>
      <c r="K4" s="7"/>
      <c r="L4" s="7"/>
      <c r="M4" s="7" t="s">
        <v>61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60</v>
      </c>
      <c r="D5" s="7" t="s">
        <v>59</v>
      </c>
      <c r="E5" s="7" t="s">
        <v>60</v>
      </c>
      <c r="F5" s="7" t="s">
        <v>51</v>
      </c>
      <c r="G5" s="7" t="s">
        <v>16</v>
      </c>
      <c r="H5" s="7"/>
      <c r="I5" s="7" t="s">
        <v>52</v>
      </c>
      <c r="J5" s="7" t="n">
        <v>2</v>
      </c>
      <c r="K5" s="7"/>
      <c r="L5" s="7" t="s">
        <v>56</v>
      </c>
      <c r="M5" s="7"/>
    </row>
    <row r="6" customFormat="false" ht="15" hidden="false" customHeight="false" outlineLevel="0" collapsed="false">
      <c r="A6" s="7" t="s">
        <v>64</v>
      </c>
      <c r="B6" s="7" t="s">
        <v>65</v>
      </c>
      <c r="C6" s="7" t="s">
        <v>66</v>
      </c>
      <c r="D6" s="7" t="s">
        <v>67</v>
      </c>
      <c r="E6" s="7" t="s">
        <v>60</v>
      </c>
      <c r="F6" s="7" t="s">
        <v>51</v>
      </c>
      <c r="G6" s="7" t="s">
        <v>16</v>
      </c>
      <c r="H6" s="7"/>
      <c r="I6" s="7" t="s">
        <v>52</v>
      </c>
      <c r="J6" s="7" t="n">
        <v>4</v>
      </c>
      <c r="K6" s="7"/>
      <c r="L6" s="7" t="s">
        <v>68</v>
      </c>
      <c r="M6" s="7" t="s">
        <v>69</v>
      </c>
    </row>
    <row r="7" customFormat="false" ht="15" hidden="false" customHeight="false" outlineLevel="0" collapsed="false">
      <c r="A7" s="7" t="s">
        <v>70</v>
      </c>
      <c r="B7" s="7" t="s">
        <v>71</v>
      </c>
      <c r="C7" s="7" t="s">
        <v>66</v>
      </c>
      <c r="D7" s="7" t="s">
        <v>72</v>
      </c>
      <c r="E7" s="7" t="s">
        <v>60</v>
      </c>
      <c r="F7" s="7" t="s">
        <v>51</v>
      </c>
      <c r="G7" s="7" t="s">
        <v>16</v>
      </c>
      <c r="H7" s="7"/>
      <c r="I7" s="7" t="s">
        <v>73</v>
      </c>
      <c r="J7" s="7" t="n">
        <v>3</v>
      </c>
      <c r="K7" s="7"/>
      <c r="L7" s="7" t="s">
        <v>64</v>
      </c>
      <c r="M7" s="7"/>
    </row>
    <row r="8" customFormat="false" ht="15" hidden="false" customHeight="false" outlineLevel="0" collapsed="false">
      <c r="A8" s="7" t="s">
        <v>74</v>
      </c>
      <c r="B8" s="7" t="s">
        <v>75</v>
      </c>
      <c r="C8" s="7" t="s">
        <v>66</v>
      </c>
      <c r="D8" s="7" t="s">
        <v>76</v>
      </c>
      <c r="E8" s="7" t="s">
        <v>77</v>
      </c>
      <c r="F8" s="7" t="s">
        <v>51</v>
      </c>
      <c r="G8" s="7" t="s">
        <v>16</v>
      </c>
      <c r="H8" s="7"/>
      <c r="I8" s="7" t="s">
        <v>73</v>
      </c>
      <c r="J8" s="7" t="n">
        <v>4</v>
      </c>
      <c r="K8" s="7"/>
      <c r="L8" s="7" t="s">
        <v>64</v>
      </c>
      <c r="M8" s="7" t="s">
        <v>78</v>
      </c>
    </row>
    <row r="9" customFormat="false" ht="15" hidden="false" customHeight="false" outlineLevel="0" collapsed="false">
      <c r="A9" s="7" t="s">
        <v>79</v>
      </c>
      <c r="B9" s="7" t="s">
        <v>80</v>
      </c>
      <c r="C9" s="7" t="s">
        <v>81</v>
      </c>
      <c r="D9" s="7" t="s">
        <v>82</v>
      </c>
      <c r="E9" s="7" t="s">
        <v>60</v>
      </c>
      <c r="F9" s="7" t="s">
        <v>51</v>
      </c>
      <c r="G9" s="7" t="s">
        <v>16</v>
      </c>
      <c r="H9" s="7"/>
      <c r="I9" s="7" t="s">
        <v>73</v>
      </c>
      <c r="J9" s="7" t="n">
        <v>4</v>
      </c>
      <c r="K9" s="7"/>
      <c r="L9" s="7" t="s">
        <v>64</v>
      </c>
      <c r="M9" s="7"/>
    </row>
    <row r="10" customFormat="false" ht="15" hidden="false" customHeight="false" outlineLevel="0" collapsed="false">
      <c r="A10" s="7" t="s">
        <v>83</v>
      </c>
      <c r="B10" s="7" t="s">
        <v>84</v>
      </c>
      <c r="C10" s="7" t="s">
        <v>85</v>
      </c>
      <c r="D10" s="7" t="s">
        <v>86</v>
      </c>
      <c r="E10" s="7" t="s">
        <v>60</v>
      </c>
      <c r="F10" s="7" t="s">
        <v>51</v>
      </c>
      <c r="G10" s="7" t="s">
        <v>16</v>
      </c>
      <c r="H10" s="7"/>
      <c r="I10" s="7" t="s">
        <v>52</v>
      </c>
      <c r="J10" s="7" t="n">
        <v>3</v>
      </c>
      <c r="K10" s="7"/>
      <c r="L10" s="7"/>
      <c r="M10" s="7" t="s">
        <v>87</v>
      </c>
    </row>
    <row r="11" customFormat="false" ht="15" hidden="false" customHeight="false" outlineLevel="0" collapsed="false">
      <c r="A11" s="7" t="s">
        <v>88</v>
      </c>
      <c r="B11" s="7" t="s">
        <v>89</v>
      </c>
      <c r="C11" s="7" t="s">
        <v>66</v>
      </c>
      <c r="D11" s="7" t="s">
        <v>90</v>
      </c>
      <c r="E11" s="7" t="s">
        <v>60</v>
      </c>
      <c r="F11" s="7" t="s">
        <v>51</v>
      </c>
      <c r="G11" s="7" t="s">
        <v>16</v>
      </c>
      <c r="H11" s="7"/>
      <c r="I11" s="7" t="s">
        <v>73</v>
      </c>
      <c r="J11" s="7" t="n">
        <v>2</v>
      </c>
      <c r="K11" s="7"/>
      <c r="L11" s="7" t="s">
        <v>64</v>
      </c>
      <c r="M11" s="7" t="s">
        <v>91</v>
      </c>
    </row>
    <row r="12" customFormat="false" ht="15" hidden="false" customHeight="false" outlineLevel="0" collapsed="false">
      <c r="A12" s="7" t="s">
        <v>92</v>
      </c>
      <c r="B12" s="7" t="s">
        <v>93</v>
      </c>
      <c r="C12" s="7" t="s">
        <v>94</v>
      </c>
      <c r="D12" s="7" t="s">
        <v>95</v>
      </c>
      <c r="E12" s="7" t="s">
        <v>77</v>
      </c>
      <c r="F12" s="7" t="s">
        <v>96</v>
      </c>
      <c r="G12" s="7" t="s">
        <v>16</v>
      </c>
      <c r="H12" s="7"/>
      <c r="I12" s="7" t="s">
        <v>73</v>
      </c>
      <c r="J12" s="7" t="n">
        <v>3</v>
      </c>
      <c r="K12" s="7"/>
      <c r="L12" s="7" t="s">
        <v>74</v>
      </c>
      <c r="M12" s="7" t="s">
        <v>97</v>
      </c>
    </row>
    <row r="13" customFormat="false" ht="15" hidden="false" customHeight="false" outlineLevel="0" collapsed="false">
      <c r="A13" s="7" t="s">
        <v>98</v>
      </c>
      <c r="B13" s="7" t="s">
        <v>99</v>
      </c>
      <c r="C13" s="7" t="s">
        <v>94</v>
      </c>
      <c r="D13" s="7" t="s">
        <v>100</v>
      </c>
      <c r="E13" s="7" t="s">
        <v>60</v>
      </c>
      <c r="F13" s="7" t="s">
        <v>96</v>
      </c>
      <c r="G13" s="7" t="s">
        <v>16</v>
      </c>
      <c r="H13" s="7"/>
      <c r="I13" s="7" t="s">
        <v>73</v>
      </c>
      <c r="J13" s="7" t="n">
        <v>2</v>
      </c>
      <c r="K13" s="7"/>
      <c r="L13" s="7" t="s">
        <v>79</v>
      </c>
      <c r="M13" s="7"/>
    </row>
    <row r="14" customFormat="false" ht="15" hidden="false" customHeight="false" outlineLevel="0" collapsed="false">
      <c r="A14" s="7" t="s">
        <v>101</v>
      </c>
      <c r="B14" s="7" t="s">
        <v>102</v>
      </c>
      <c r="C14" s="7" t="s">
        <v>103</v>
      </c>
      <c r="D14" s="7" t="s">
        <v>104</v>
      </c>
      <c r="E14" s="7" t="s">
        <v>60</v>
      </c>
      <c r="F14" s="7" t="s">
        <v>51</v>
      </c>
      <c r="G14" s="7" t="s">
        <v>16</v>
      </c>
      <c r="H14" s="7"/>
      <c r="I14" s="7" t="s">
        <v>105</v>
      </c>
      <c r="J14" s="7" t="n">
        <v>4</v>
      </c>
      <c r="K14" s="7"/>
      <c r="L14" s="7" t="s">
        <v>56</v>
      </c>
      <c r="M14" s="7"/>
    </row>
    <row r="15" customFormat="false" ht="15" hidden="false" customHeight="false" outlineLevel="0" collapsed="false">
      <c r="A15" s="7" t="s">
        <v>106</v>
      </c>
      <c r="B15" s="7" t="s">
        <v>107</v>
      </c>
      <c r="C15" s="7" t="s">
        <v>103</v>
      </c>
      <c r="D15" s="7" t="s">
        <v>108</v>
      </c>
      <c r="E15" s="7" t="s">
        <v>60</v>
      </c>
      <c r="F15" s="7" t="s">
        <v>96</v>
      </c>
      <c r="G15" s="7" t="s">
        <v>16</v>
      </c>
      <c r="H15" s="7"/>
      <c r="I15" s="7" t="s">
        <v>105</v>
      </c>
      <c r="J15" s="7" t="n">
        <v>2</v>
      </c>
      <c r="K15" s="7"/>
      <c r="L15" s="7" t="s">
        <v>101</v>
      </c>
      <c r="M15" s="7"/>
    </row>
    <row r="16" customFormat="false" ht="15" hidden="false" customHeight="false" outlineLevel="0" collapsed="false">
      <c r="A16" s="7" t="s">
        <v>109</v>
      </c>
      <c r="B16" s="7" t="s">
        <v>110</v>
      </c>
      <c r="C16" s="7" t="s">
        <v>111</v>
      </c>
      <c r="D16" s="7" t="s">
        <v>112</v>
      </c>
      <c r="E16" s="7" t="s">
        <v>60</v>
      </c>
      <c r="F16" s="7" t="s">
        <v>51</v>
      </c>
      <c r="G16" s="7" t="s">
        <v>16</v>
      </c>
      <c r="H16" s="7"/>
      <c r="I16" s="7" t="s">
        <v>105</v>
      </c>
      <c r="J16" s="7" t="n">
        <v>3</v>
      </c>
      <c r="K16" s="7"/>
      <c r="L16" s="7" t="s">
        <v>101</v>
      </c>
      <c r="M16" s="7" t="s">
        <v>113</v>
      </c>
    </row>
    <row r="17" customFormat="false" ht="15" hidden="false" customHeight="false" outlineLevel="0" collapsed="false">
      <c r="A17" s="7" t="s">
        <v>114</v>
      </c>
      <c r="B17" s="7" t="s">
        <v>115</v>
      </c>
      <c r="C17" s="7" t="s">
        <v>111</v>
      </c>
      <c r="D17" s="7" t="s">
        <v>116</v>
      </c>
      <c r="E17" s="7" t="s">
        <v>60</v>
      </c>
      <c r="F17" s="7" t="s">
        <v>51</v>
      </c>
      <c r="G17" s="7" t="s">
        <v>16</v>
      </c>
      <c r="H17" s="7"/>
      <c r="I17" s="7" t="s">
        <v>105</v>
      </c>
      <c r="J17" s="7" t="n">
        <v>3</v>
      </c>
      <c r="K17" s="7"/>
      <c r="L17" s="7" t="s">
        <v>117</v>
      </c>
      <c r="M17" s="7" t="s">
        <v>118</v>
      </c>
    </row>
    <row r="18" customFormat="false" ht="15" hidden="false" customHeight="false" outlineLevel="0" collapsed="false">
      <c r="A18" s="7" t="s">
        <v>119</v>
      </c>
      <c r="B18" s="7" t="s">
        <v>120</v>
      </c>
      <c r="C18" s="7" t="s">
        <v>111</v>
      </c>
      <c r="D18" s="7" t="s">
        <v>121</v>
      </c>
      <c r="E18" s="7" t="s">
        <v>60</v>
      </c>
      <c r="F18" s="7" t="s">
        <v>51</v>
      </c>
      <c r="G18" s="7" t="s">
        <v>16</v>
      </c>
      <c r="H18" s="7"/>
      <c r="I18" s="7" t="s">
        <v>105</v>
      </c>
      <c r="J18" s="7" t="n">
        <v>3</v>
      </c>
      <c r="K18" s="7"/>
      <c r="L18" s="7" t="s">
        <v>109</v>
      </c>
      <c r="M18" s="7"/>
    </row>
    <row r="19" customFormat="false" ht="15" hidden="false" customHeight="false" outlineLevel="0" collapsed="false">
      <c r="A19" s="7" t="s">
        <v>122</v>
      </c>
      <c r="B19" s="7" t="s">
        <v>123</v>
      </c>
      <c r="C19" s="7" t="s">
        <v>111</v>
      </c>
      <c r="D19" s="7" t="s">
        <v>124</v>
      </c>
      <c r="E19" s="7" t="s">
        <v>60</v>
      </c>
      <c r="F19" s="7" t="s">
        <v>51</v>
      </c>
      <c r="G19" s="7" t="s">
        <v>16</v>
      </c>
      <c r="H19" s="7"/>
      <c r="I19" s="7" t="s">
        <v>105</v>
      </c>
      <c r="J19" s="7" t="n">
        <v>4</v>
      </c>
      <c r="K19" s="7"/>
      <c r="L19" s="7" t="s">
        <v>119</v>
      </c>
      <c r="M19" s="7" t="s">
        <v>125</v>
      </c>
    </row>
    <row r="20" customFormat="false" ht="15" hidden="false" customHeight="false" outlineLevel="0" collapsed="false">
      <c r="A20" s="7" t="s">
        <v>126</v>
      </c>
      <c r="B20" s="7" t="s">
        <v>127</v>
      </c>
      <c r="C20" s="7" t="s">
        <v>128</v>
      </c>
      <c r="D20" s="7" t="s">
        <v>129</v>
      </c>
      <c r="E20" s="7" t="s">
        <v>60</v>
      </c>
      <c r="F20" s="7" t="s">
        <v>51</v>
      </c>
      <c r="G20" s="7" t="s">
        <v>16</v>
      </c>
      <c r="H20" s="7"/>
      <c r="I20" s="7" t="s">
        <v>130</v>
      </c>
      <c r="J20" s="7" t="n">
        <v>4</v>
      </c>
      <c r="K20" s="7"/>
      <c r="L20" s="7" t="s">
        <v>122</v>
      </c>
      <c r="M20" s="7" t="s">
        <v>131</v>
      </c>
    </row>
    <row r="21" customFormat="false" ht="15" hidden="false" customHeight="false" outlineLevel="0" collapsed="false">
      <c r="A21" s="7" t="s">
        <v>132</v>
      </c>
      <c r="B21" s="7" t="s">
        <v>133</v>
      </c>
      <c r="C21" s="7" t="s">
        <v>111</v>
      </c>
      <c r="D21" s="7" t="s">
        <v>134</v>
      </c>
      <c r="E21" s="7" t="s">
        <v>60</v>
      </c>
      <c r="F21" s="7" t="s">
        <v>51</v>
      </c>
      <c r="G21" s="7" t="s">
        <v>16</v>
      </c>
      <c r="H21" s="7"/>
      <c r="I21" s="7" t="s">
        <v>130</v>
      </c>
      <c r="J21" s="7" t="n">
        <v>3</v>
      </c>
      <c r="K21" s="7"/>
      <c r="L21" s="7" t="s">
        <v>126</v>
      </c>
      <c r="M21" s="7" t="s">
        <v>135</v>
      </c>
    </row>
    <row r="22" customFormat="false" ht="15" hidden="false" customHeight="false" outlineLevel="0" collapsed="false">
      <c r="A22" s="7" t="s">
        <v>136</v>
      </c>
      <c r="B22" s="7" t="s">
        <v>137</v>
      </c>
      <c r="C22" s="7" t="s">
        <v>103</v>
      </c>
      <c r="D22" s="7" t="s">
        <v>138</v>
      </c>
      <c r="E22" s="7" t="s">
        <v>77</v>
      </c>
      <c r="F22" s="7" t="s">
        <v>96</v>
      </c>
      <c r="G22" s="7" t="s">
        <v>16</v>
      </c>
      <c r="H22" s="7"/>
      <c r="I22" s="7" t="s">
        <v>130</v>
      </c>
      <c r="J22" s="7" t="n">
        <v>2</v>
      </c>
      <c r="K22" s="7"/>
      <c r="L22" s="7"/>
      <c r="M22" s="7" t="s">
        <v>139</v>
      </c>
    </row>
    <row r="23" customFormat="false" ht="15" hidden="false" customHeight="false" outlineLevel="0" collapsed="false">
      <c r="A23" s="7" t="s">
        <v>140</v>
      </c>
      <c r="B23" s="7" t="s">
        <v>141</v>
      </c>
      <c r="C23" s="7" t="s">
        <v>103</v>
      </c>
      <c r="D23" s="7" t="s">
        <v>142</v>
      </c>
      <c r="E23" s="7" t="s">
        <v>77</v>
      </c>
      <c r="F23" s="7" t="s">
        <v>96</v>
      </c>
      <c r="G23" s="7" t="s">
        <v>16</v>
      </c>
      <c r="H23" s="7"/>
      <c r="I23" s="7" t="s">
        <v>130</v>
      </c>
      <c r="J23" s="7" t="n">
        <v>5</v>
      </c>
      <c r="K23" s="7"/>
      <c r="L23" s="7" t="s">
        <v>126</v>
      </c>
      <c r="M23" s="7" t="s">
        <v>143</v>
      </c>
    </row>
    <row r="24" customFormat="false" ht="15" hidden="false" customHeight="false" outlineLevel="0" collapsed="false">
      <c r="A24" s="7" t="s">
        <v>144</v>
      </c>
      <c r="B24" s="7" t="s">
        <v>145</v>
      </c>
      <c r="C24" s="7" t="s">
        <v>103</v>
      </c>
      <c r="D24" s="7" t="s">
        <v>146</v>
      </c>
      <c r="E24" s="7" t="s">
        <v>77</v>
      </c>
      <c r="F24" s="7" t="s">
        <v>96</v>
      </c>
      <c r="G24" s="7" t="s">
        <v>16</v>
      </c>
      <c r="H24" s="7"/>
      <c r="I24" s="7" t="s">
        <v>130</v>
      </c>
      <c r="J24" s="7" t="n">
        <v>3</v>
      </c>
      <c r="K24" s="7"/>
      <c r="L24" s="7" t="s">
        <v>109</v>
      </c>
      <c r="M24" s="7" t="s">
        <v>147</v>
      </c>
    </row>
    <row r="25" customFormat="false" ht="15" hidden="false" customHeight="false" outlineLevel="0" collapsed="false">
      <c r="A25" s="7" t="s">
        <v>148</v>
      </c>
      <c r="B25" s="7" t="s">
        <v>149</v>
      </c>
      <c r="C25" s="7" t="s">
        <v>103</v>
      </c>
      <c r="D25" s="7" t="s">
        <v>150</v>
      </c>
      <c r="E25" s="7" t="s">
        <v>77</v>
      </c>
      <c r="F25" s="7" t="s">
        <v>151</v>
      </c>
      <c r="G25" s="7" t="s">
        <v>16</v>
      </c>
      <c r="H25" s="7"/>
      <c r="I25" s="7" t="s">
        <v>130</v>
      </c>
      <c r="J25" s="7" t="n">
        <v>2</v>
      </c>
      <c r="K25" s="7"/>
      <c r="L25" s="7" t="s">
        <v>144</v>
      </c>
      <c r="M25" s="7"/>
    </row>
    <row r="26" customFormat="false" ht="15" hidden="false" customHeight="false" outlineLevel="0" collapsed="false">
      <c r="A26" s="7" t="s">
        <v>152</v>
      </c>
      <c r="B26" s="7" t="s">
        <v>153</v>
      </c>
      <c r="C26" s="7" t="s">
        <v>85</v>
      </c>
      <c r="D26" s="7" t="s">
        <v>154</v>
      </c>
      <c r="E26" s="7" t="s">
        <v>60</v>
      </c>
      <c r="F26" s="7" t="s">
        <v>51</v>
      </c>
      <c r="G26" s="7" t="s">
        <v>16</v>
      </c>
      <c r="H26" s="7"/>
      <c r="I26" s="7" t="s">
        <v>155</v>
      </c>
      <c r="J26" s="7" t="n">
        <v>5</v>
      </c>
      <c r="K26" s="7"/>
      <c r="L26" s="7" t="s">
        <v>101</v>
      </c>
      <c r="M26" s="7" t="s">
        <v>156</v>
      </c>
    </row>
    <row r="27" customFormat="false" ht="15" hidden="false" customHeight="false" outlineLevel="0" collapsed="false">
      <c r="A27" s="7" t="s">
        <v>157</v>
      </c>
      <c r="B27" s="7" t="s">
        <v>158</v>
      </c>
      <c r="C27" s="7" t="s">
        <v>85</v>
      </c>
      <c r="D27" s="7" t="s">
        <v>159</v>
      </c>
      <c r="E27" s="7" t="s">
        <v>60</v>
      </c>
      <c r="F27" s="7" t="s">
        <v>51</v>
      </c>
      <c r="G27" s="7" t="s">
        <v>16</v>
      </c>
      <c r="H27" s="7"/>
      <c r="I27" s="7" t="s">
        <v>155</v>
      </c>
      <c r="J27" s="7" t="n">
        <v>2</v>
      </c>
      <c r="K27" s="7"/>
      <c r="L27" s="7" t="s">
        <v>152</v>
      </c>
      <c r="M27" s="7"/>
    </row>
    <row r="28" customFormat="false" ht="15" hidden="false" customHeight="false" outlineLevel="0" collapsed="false">
      <c r="A28" s="7" t="s">
        <v>160</v>
      </c>
      <c r="B28" s="7" t="s">
        <v>161</v>
      </c>
      <c r="C28" s="7" t="s">
        <v>162</v>
      </c>
      <c r="D28" s="7" t="s">
        <v>163</v>
      </c>
      <c r="E28" s="7" t="s">
        <v>60</v>
      </c>
      <c r="F28" s="7" t="s">
        <v>51</v>
      </c>
      <c r="G28" s="7" t="s">
        <v>16</v>
      </c>
      <c r="H28" s="7"/>
      <c r="I28" s="7" t="s">
        <v>155</v>
      </c>
      <c r="J28" s="7" t="n">
        <v>3</v>
      </c>
      <c r="K28" s="7"/>
      <c r="L28" s="7" t="s">
        <v>126</v>
      </c>
      <c r="M28" s="7"/>
    </row>
    <row r="29" customFormat="false" ht="15" hidden="false" customHeight="false" outlineLevel="0" collapsed="false">
      <c r="A29" s="7" t="s">
        <v>164</v>
      </c>
      <c r="B29" s="7" t="s">
        <v>165</v>
      </c>
      <c r="C29" s="7" t="s">
        <v>162</v>
      </c>
      <c r="D29" s="7" t="s">
        <v>166</v>
      </c>
      <c r="E29" s="7" t="s">
        <v>77</v>
      </c>
      <c r="F29" s="7" t="s">
        <v>96</v>
      </c>
      <c r="G29" s="7" t="s">
        <v>16</v>
      </c>
      <c r="H29" s="7"/>
      <c r="I29" s="7" t="s">
        <v>155</v>
      </c>
      <c r="J29" s="7" t="n">
        <v>4</v>
      </c>
      <c r="K29" s="7"/>
      <c r="L29" s="7" t="s">
        <v>160</v>
      </c>
      <c r="M29" s="7" t="s">
        <v>167</v>
      </c>
    </row>
    <row r="30" customFormat="false" ht="15" hidden="false" customHeight="false" outlineLevel="0" collapsed="false">
      <c r="A30" s="7" t="s">
        <v>168</v>
      </c>
      <c r="B30" s="7" t="s">
        <v>169</v>
      </c>
      <c r="C30" s="7" t="s">
        <v>162</v>
      </c>
      <c r="D30" s="7" t="s">
        <v>170</v>
      </c>
      <c r="E30" s="7" t="s">
        <v>60</v>
      </c>
      <c r="F30" s="7" t="s">
        <v>96</v>
      </c>
      <c r="G30" s="7" t="s">
        <v>16</v>
      </c>
      <c r="H30" s="7"/>
      <c r="I30" s="7" t="s">
        <v>155</v>
      </c>
      <c r="J30" s="7" t="n">
        <v>3</v>
      </c>
      <c r="K30" s="7"/>
      <c r="L30" s="7" t="s">
        <v>160</v>
      </c>
      <c r="M30" s="7"/>
    </row>
    <row r="31" customFormat="false" ht="15" hidden="false" customHeight="false" outlineLevel="0" collapsed="false">
      <c r="A31" s="7" t="s">
        <v>171</v>
      </c>
      <c r="B31" s="7" t="s">
        <v>172</v>
      </c>
      <c r="C31" s="7" t="s">
        <v>162</v>
      </c>
      <c r="D31" s="7" t="s">
        <v>173</v>
      </c>
      <c r="E31" s="7" t="s">
        <v>77</v>
      </c>
      <c r="F31" s="7" t="s">
        <v>96</v>
      </c>
      <c r="G31" s="7" t="s">
        <v>16</v>
      </c>
      <c r="H31" s="7"/>
      <c r="I31" s="7" t="s">
        <v>155</v>
      </c>
      <c r="J31" s="7" t="n">
        <v>4</v>
      </c>
      <c r="K31" s="7"/>
      <c r="L31" s="7" t="s">
        <v>160</v>
      </c>
      <c r="M31" s="7" t="s">
        <v>174</v>
      </c>
    </row>
    <row r="32" customFormat="false" ht="15" hidden="false" customHeight="false" outlineLevel="0" collapsed="false">
      <c r="A32" s="7" t="s">
        <v>175</v>
      </c>
      <c r="B32" s="7" t="s">
        <v>176</v>
      </c>
      <c r="C32" s="7" t="s">
        <v>162</v>
      </c>
      <c r="D32" s="7" t="s">
        <v>177</v>
      </c>
      <c r="E32" s="7" t="s">
        <v>60</v>
      </c>
      <c r="F32" s="7" t="s">
        <v>96</v>
      </c>
      <c r="G32" s="7" t="s">
        <v>16</v>
      </c>
      <c r="H32" s="7"/>
      <c r="I32" s="7" t="s">
        <v>155</v>
      </c>
      <c r="J32" s="7" t="n">
        <v>2</v>
      </c>
      <c r="K32" s="7"/>
      <c r="L32" s="7" t="s">
        <v>160</v>
      </c>
      <c r="M32" s="7"/>
    </row>
    <row r="33" customFormat="false" ht="15" hidden="false" customHeight="false" outlineLevel="0" collapsed="false">
      <c r="A33" s="7" t="s">
        <v>178</v>
      </c>
      <c r="B33" s="7" t="s">
        <v>179</v>
      </c>
      <c r="C33" s="7" t="s">
        <v>162</v>
      </c>
      <c r="D33" s="7" t="s">
        <v>180</v>
      </c>
      <c r="E33" s="7" t="s">
        <v>60</v>
      </c>
      <c r="F33" s="7" t="s">
        <v>51</v>
      </c>
      <c r="G33" s="7" t="s">
        <v>16</v>
      </c>
      <c r="H33" s="7"/>
      <c r="I33" s="7" t="s">
        <v>181</v>
      </c>
      <c r="J33" s="7" t="n">
        <v>4</v>
      </c>
      <c r="K33" s="7"/>
      <c r="L33" s="7" t="s">
        <v>160</v>
      </c>
      <c r="M33" s="7" t="s">
        <v>182</v>
      </c>
    </row>
    <row r="34" customFormat="false" ht="15" hidden="false" customHeight="false" outlineLevel="0" collapsed="false">
      <c r="A34" s="7" t="s">
        <v>183</v>
      </c>
      <c r="B34" s="7" t="s">
        <v>184</v>
      </c>
      <c r="C34" s="7" t="s">
        <v>185</v>
      </c>
      <c r="D34" s="7" t="s">
        <v>186</v>
      </c>
      <c r="E34" s="7" t="s">
        <v>60</v>
      </c>
      <c r="F34" s="7" t="s">
        <v>96</v>
      </c>
      <c r="G34" s="7" t="s">
        <v>16</v>
      </c>
      <c r="H34" s="7"/>
      <c r="I34" s="7" t="s">
        <v>181</v>
      </c>
      <c r="J34" s="7" t="n">
        <v>3</v>
      </c>
      <c r="K34" s="7"/>
      <c r="L34" s="7" t="s">
        <v>160</v>
      </c>
      <c r="M34" s="7"/>
    </row>
    <row r="35" customFormat="false" ht="15" hidden="false" customHeight="false" outlineLevel="0" collapsed="false">
      <c r="A35" s="7" t="s">
        <v>187</v>
      </c>
      <c r="B35" s="7" t="s">
        <v>188</v>
      </c>
      <c r="C35" s="7" t="s">
        <v>185</v>
      </c>
      <c r="D35" s="7" t="s">
        <v>189</v>
      </c>
      <c r="E35" s="7" t="s">
        <v>60</v>
      </c>
      <c r="F35" s="7" t="s">
        <v>96</v>
      </c>
      <c r="G35" s="7" t="s">
        <v>16</v>
      </c>
      <c r="H35" s="7"/>
      <c r="I35" s="7" t="s">
        <v>181</v>
      </c>
      <c r="J35" s="7" t="n">
        <v>2</v>
      </c>
      <c r="K35" s="7"/>
      <c r="L35" s="7" t="s">
        <v>183</v>
      </c>
      <c r="M35" s="7" t="s">
        <v>190</v>
      </c>
    </row>
    <row r="36" customFormat="false" ht="15" hidden="false" customHeight="false" outlineLevel="0" collapsed="false">
      <c r="A36" s="7" t="s">
        <v>191</v>
      </c>
      <c r="B36" s="7" t="s">
        <v>192</v>
      </c>
      <c r="C36" s="7" t="s">
        <v>185</v>
      </c>
      <c r="D36" s="7" t="s">
        <v>193</v>
      </c>
      <c r="E36" s="7" t="s">
        <v>77</v>
      </c>
      <c r="F36" s="7" t="s">
        <v>151</v>
      </c>
      <c r="G36" s="7" t="s">
        <v>16</v>
      </c>
      <c r="H36" s="7"/>
      <c r="I36" s="7" t="s">
        <v>181</v>
      </c>
      <c r="J36" s="7" t="n">
        <v>3</v>
      </c>
      <c r="K36" s="7"/>
      <c r="L36" s="7" t="s">
        <v>183</v>
      </c>
      <c r="M36" s="7"/>
    </row>
    <row r="37" customFormat="false" ht="15" hidden="false" customHeight="false" outlineLevel="0" collapsed="false">
      <c r="A37" s="7" t="s">
        <v>194</v>
      </c>
      <c r="B37" s="7" t="s">
        <v>195</v>
      </c>
      <c r="C37" s="7" t="s">
        <v>196</v>
      </c>
      <c r="D37" s="7" t="s">
        <v>197</v>
      </c>
      <c r="E37" s="7" t="s">
        <v>60</v>
      </c>
      <c r="F37" s="7" t="s">
        <v>51</v>
      </c>
      <c r="G37" s="7" t="s">
        <v>16</v>
      </c>
      <c r="H37" s="7"/>
      <c r="I37" s="7" t="s">
        <v>181</v>
      </c>
      <c r="J37" s="7" t="n">
        <v>3</v>
      </c>
      <c r="K37" s="7"/>
      <c r="L37" s="7" t="s">
        <v>126</v>
      </c>
      <c r="M37" s="7" t="s">
        <v>198</v>
      </c>
    </row>
    <row r="38" customFormat="false" ht="15" hidden="false" customHeight="false" outlineLevel="0" collapsed="false">
      <c r="A38" s="7" t="s">
        <v>199</v>
      </c>
      <c r="B38" s="7" t="s">
        <v>200</v>
      </c>
      <c r="C38" s="7" t="s">
        <v>128</v>
      </c>
      <c r="D38" s="7" t="s">
        <v>201</v>
      </c>
      <c r="E38" s="7" t="s">
        <v>60</v>
      </c>
      <c r="F38" s="7" t="s">
        <v>96</v>
      </c>
      <c r="G38" s="7" t="s">
        <v>16</v>
      </c>
      <c r="H38" s="7"/>
      <c r="I38" s="7" t="s">
        <v>181</v>
      </c>
      <c r="J38" s="7" t="n">
        <v>3</v>
      </c>
      <c r="K38" s="7"/>
      <c r="L38" s="7" t="s">
        <v>126</v>
      </c>
      <c r="M38" s="7" t="s">
        <v>202</v>
      </c>
    </row>
    <row r="39" customFormat="false" ht="15" hidden="false" customHeight="false" outlineLevel="0" collapsed="false">
      <c r="A39" s="7" t="s">
        <v>203</v>
      </c>
      <c r="B39" s="7" t="s">
        <v>204</v>
      </c>
      <c r="C39" s="7" t="s">
        <v>196</v>
      </c>
      <c r="D39" s="7" t="s">
        <v>205</v>
      </c>
      <c r="E39" s="7" t="s">
        <v>77</v>
      </c>
      <c r="F39" s="7" t="s">
        <v>51</v>
      </c>
      <c r="G39" s="7" t="s">
        <v>16</v>
      </c>
      <c r="H39" s="7"/>
      <c r="I39" s="7" t="s">
        <v>181</v>
      </c>
      <c r="J39" s="7" t="n">
        <v>4</v>
      </c>
      <c r="K39" s="7"/>
      <c r="L39" s="7" t="s">
        <v>194</v>
      </c>
      <c r="M39" s="7"/>
    </row>
    <row r="40" customFormat="false" ht="15" hidden="false" customHeight="false" outlineLevel="0" collapsed="false">
      <c r="A40" s="7" t="s">
        <v>206</v>
      </c>
      <c r="B40" s="7" t="s">
        <v>207</v>
      </c>
      <c r="C40" s="7" t="s">
        <v>196</v>
      </c>
      <c r="D40" s="7" t="s">
        <v>208</v>
      </c>
      <c r="E40" s="7" t="s">
        <v>60</v>
      </c>
      <c r="F40" s="7" t="s">
        <v>51</v>
      </c>
      <c r="G40" s="7" t="s">
        <v>16</v>
      </c>
      <c r="H40" s="7"/>
      <c r="I40" s="7" t="s">
        <v>181</v>
      </c>
      <c r="J40" s="7" t="n">
        <v>4</v>
      </c>
      <c r="K40" s="7"/>
      <c r="L40" s="7" t="s">
        <v>194</v>
      </c>
      <c r="M40" s="7" t="s">
        <v>209</v>
      </c>
    </row>
    <row r="41" customFormat="false" ht="15" hidden="false" customHeight="false" outlineLevel="0" collapsed="false">
      <c r="A41" s="7" t="s">
        <v>210</v>
      </c>
      <c r="B41" s="7" t="s">
        <v>211</v>
      </c>
      <c r="C41" s="7" t="s">
        <v>212</v>
      </c>
      <c r="D41" s="7" t="s">
        <v>213</v>
      </c>
      <c r="E41" s="7" t="s">
        <v>77</v>
      </c>
      <c r="F41" s="7" t="s">
        <v>96</v>
      </c>
      <c r="G41" s="7" t="s">
        <v>16</v>
      </c>
      <c r="H41" s="7"/>
      <c r="I41" s="7" t="s">
        <v>181</v>
      </c>
      <c r="J41" s="7" t="n">
        <v>4</v>
      </c>
      <c r="K41" s="7"/>
      <c r="L41" s="7" t="s">
        <v>214</v>
      </c>
      <c r="M41" s="7" t="s">
        <v>215</v>
      </c>
    </row>
    <row r="42" customFormat="false" ht="15" hidden="false" customHeight="false" outlineLevel="0" collapsed="false">
      <c r="A42" s="7" t="s">
        <v>216</v>
      </c>
      <c r="B42" s="7" t="s">
        <v>217</v>
      </c>
      <c r="C42" s="7" t="s">
        <v>212</v>
      </c>
      <c r="D42" s="7" t="s">
        <v>218</v>
      </c>
      <c r="E42" s="7" t="s">
        <v>77</v>
      </c>
      <c r="F42" s="7" t="s">
        <v>151</v>
      </c>
      <c r="G42" s="7" t="s">
        <v>16</v>
      </c>
      <c r="H42" s="7"/>
      <c r="I42" s="7" t="s">
        <v>181</v>
      </c>
      <c r="J42" s="7" t="n">
        <v>3</v>
      </c>
      <c r="K42" s="7"/>
      <c r="L42" s="7" t="s">
        <v>210</v>
      </c>
      <c r="M42" s="7"/>
    </row>
    <row r="43" customFormat="false" ht="23.85" hidden="false" customHeight="false" outlineLevel="0" collapsed="false">
      <c r="A43" s="7" t="s">
        <v>219</v>
      </c>
      <c r="B43" s="7" t="s">
        <v>220</v>
      </c>
      <c r="C43" s="7" t="s">
        <v>221</v>
      </c>
      <c r="D43" s="7" t="s">
        <v>222</v>
      </c>
      <c r="E43" s="7" t="s">
        <v>77</v>
      </c>
      <c r="F43" s="7" t="s">
        <v>51</v>
      </c>
      <c r="G43" s="7" t="s">
        <v>16</v>
      </c>
      <c r="H43" s="7"/>
      <c r="I43" s="7" t="s">
        <v>181</v>
      </c>
      <c r="J43" s="7" t="n">
        <v>6</v>
      </c>
      <c r="K43" s="7"/>
      <c r="L43" s="7" t="s">
        <v>223</v>
      </c>
      <c r="M43" s="7" t="s">
        <v>224</v>
      </c>
    </row>
    <row r="44" customFormat="false" ht="15" hidden="false" customHeight="false" outlineLevel="0" collapsed="false">
      <c r="A44" s="7" t="s">
        <v>225</v>
      </c>
      <c r="B44" s="7" t="s">
        <v>226</v>
      </c>
      <c r="C44" s="7" t="s">
        <v>85</v>
      </c>
      <c r="D44" s="7" t="s">
        <v>227</v>
      </c>
      <c r="E44" s="7" t="s">
        <v>60</v>
      </c>
      <c r="F44" s="7" t="s">
        <v>51</v>
      </c>
      <c r="G44" s="7" t="s">
        <v>16</v>
      </c>
      <c r="H44" s="7"/>
      <c r="I44" s="7" t="s">
        <v>228</v>
      </c>
      <c r="J44" s="7" t="n">
        <v>1</v>
      </c>
      <c r="K44" s="7"/>
      <c r="L44" s="7" t="s">
        <v>152</v>
      </c>
      <c r="M44" s="7"/>
    </row>
    <row r="45" customFormat="false" ht="15" hidden="false" customHeight="false" outlineLevel="0" collapsed="false">
      <c r="A45" s="7" t="s">
        <v>229</v>
      </c>
      <c r="B45" s="7" t="s">
        <v>230</v>
      </c>
      <c r="C45" s="7" t="s">
        <v>85</v>
      </c>
      <c r="D45" s="7" t="s">
        <v>116</v>
      </c>
      <c r="E45" s="7" t="s">
        <v>60</v>
      </c>
      <c r="F45" s="7" t="s">
        <v>51</v>
      </c>
      <c r="G45" s="7" t="s">
        <v>16</v>
      </c>
      <c r="H45" s="7"/>
      <c r="I45" s="7" t="s">
        <v>228</v>
      </c>
      <c r="J45" s="7" t="n">
        <v>2</v>
      </c>
      <c r="K45" s="7"/>
      <c r="L45" s="7" t="s">
        <v>152</v>
      </c>
      <c r="M45" s="7" t="s">
        <v>231</v>
      </c>
    </row>
    <row r="46" customFormat="false" ht="15" hidden="false" customHeight="false" outlineLevel="0" collapsed="false">
      <c r="A46" s="7" t="s">
        <v>232</v>
      </c>
      <c r="B46" s="7" t="s">
        <v>233</v>
      </c>
      <c r="C46" s="7" t="s">
        <v>85</v>
      </c>
      <c r="D46" s="7" t="s">
        <v>234</v>
      </c>
      <c r="E46" s="7" t="s">
        <v>60</v>
      </c>
      <c r="F46" s="7" t="s">
        <v>51</v>
      </c>
      <c r="G46" s="7" t="s">
        <v>16</v>
      </c>
      <c r="H46" s="7"/>
      <c r="I46" s="7" t="s">
        <v>228</v>
      </c>
      <c r="J46" s="7" t="n">
        <v>2</v>
      </c>
      <c r="K46" s="7"/>
      <c r="L46" s="7" t="s">
        <v>152</v>
      </c>
      <c r="M46" s="7"/>
    </row>
    <row r="47" customFormat="false" ht="15" hidden="false" customHeight="false" outlineLevel="0" collapsed="false">
      <c r="A47" s="7" t="s">
        <v>235</v>
      </c>
      <c r="B47" s="7" t="s">
        <v>236</v>
      </c>
      <c r="C47" s="7" t="s">
        <v>85</v>
      </c>
      <c r="D47" s="7" t="s">
        <v>134</v>
      </c>
      <c r="E47" s="7" t="s">
        <v>60</v>
      </c>
      <c r="F47" s="7" t="s">
        <v>51</v>
      </c>
      <c r="G47" s="7" t="s">
        <v>16</v>
      </c>
      <c r="H47" s="7"/>
      <c r="I47" s="7" t="s">
        <v>228</v>
      </c>
      <c r="J47" s="7" t="n">
        <v>3</v>
      </c>
      <c r="K47" s="7"/>
      <c r="L47" s="7" t="s">
        <v>237</v>
      </c>
      <c r="M47" s="7" t="s">
        <v>238</v>
      </c>
    </row>
    <row r="48" customFormat="false" ht="15" hidden="false" customHeight="false" outlineLevel="0" collapsed="false">
      <c r="A48" s="7" t="s">
        <v>239</v>
      </c>
      <c r="B48" s="7" t="s">
        <v>240</v>
      </c>
      <c r="C48" s="7" t="s">
        <v>85</v>
      </c>
      <c r="D48" s="7" t="s">
        <v>234</v>
      </c>
      <c r="E48" s="7" t="s">
        <v>60</v>
      </c>
      <c r="F48" s="7" t="s">
        <v>51</v>
      </c>
      <c r="G48" s="7" t="s">
        <v>16</v>
      </c>
      <c r="H48" s="7"/>
      <c r="I48" s="7" t="s">
        <v>228</v>
      </c>
      <c r="J48" s="7" t="n">
        <v>1</v>
      </c>
      <c r="K48" s="7"/>
      <c r="L48" s="7" t="s">
        <v>152</v>
      </c>
      <c r="M48" s="7"/>
    </row>
    <row r="49" customFormat="false" ht="15" hidden="false" customHeight="false" outlineLevel="0" collapsed="false">
      <c r="A49" s="7" t="s">
        <v>241</v>
      </c>
      <c r="B49" s="7" t="s">
        <v>242</v>
      </c>
      <c r="C49" s="7" t="s">
        <v>85</v>
      </c>
      <c r="D49" s="7" t="s">
        <v>234</v>
      </c>
      <c r="E49" s="7" t="s">
        <v>60</v>
      </c>
      <c r="F49" s="7" t="s">
        <v>51</v>
      </c>
      <c r="G49" s="7" t="s">
        <v>16</v>
      </c>
      <c r="H49" s="7"/>
      <c r="I49" s="7" t="s">
        <v>228</v>
      </c>
      <c r="J49" s="7" t="n">
        <v>2</v>
      </c>
      <c r="K49" s="7"/>
      <c r="L49" s="7" t="s">
        <v>152</v>
      </c>
      <c r="M49" s="7"/>
    </row>
    <row r="50" customFormat="false" ht="15" hidden="false" customHeight="false" outlineLevel="0" collapsed="false">
      <c r="A50" s="7" t="s">
        <v>243</v>
      </c>
      <c r="B50" s="7" t="s">
        <v>244</v>
      </c>
      <c r="C50" s="7" t="s">
        <v>245</v>
      </c>
      <c r="D50" s="7" t="s">
        <v>246</v>
      </c>
      <c r="E50" s="7" t="s">
        <v>60</v>
      </c>
      <c r="F50" s="7" t="s">
        <v>96</v>
      </c>
      <c r="G50" s="7" t="s">
        <v>16</v>
      </c>
      <c r="H50" s="7"/>
      <c r="I50" s="7" t="s">
        <v>228</v>
      </c>
      <c r="J50" s="7" t="n">
        <v>3</v>
      </c>
      <c r="K50" s="7"/>
      <c r="L50" s="7" t="s">
        <v>247</v>
      </c>
      <c r="M50" s="7"/>
    </row>
    <row r="51" customFormat="false" ht="15" hidden="false" customHeight="false" outlineLevel="0" collapsed="false">
      <c r="A51" s="7" t="s">
        <v>248</v>
      </c>
      <c r="B51" s="7" t="s">
        <v>249</v>
      </c>
      <c r="C51" s="7" t="s">
        <v>245</v>
      </c>
      <c r="D51" s="7" t="s">
        <v>250</v>
      </c>
      <c r="E51" s="7" t="s">
        <v>60</v>
      </c>
      <c r="F51" s="7" t="s">
        <v>96</v>
      </c>
      <c r="G51" s="7" t="s">
        <v>16</v>
      </c>
      <c r="H51" s="7"/>
      <c r="I51" s="7" t="s">
        <v>228</v>
      </c>
      <c r="J51" s="7" t="n">
        <v>2</v>
      </c>
      <c r="K51" s="7"/>
      <c r="L51" s="7" t="s">
        <v>243</v>
      </c>
      <c r="M51" s="7"/>
    </row>
    <row r="52" customFormat="false" ht="15" hidden="false" customHeight="false" outlineLevel="0" collapsed="false">
      <c r="A52" s="7" t="s">
        <v>251</v>
      </c>
      <c r="B52" s="7" t="s">
        <v>252</v>
      </c>
      <c r="C52" s="7" t="s">
        <v>245</v>
      </c>
      <c r="D52" s="7" t="s">
        <v>253</v>
      </c>
      <c r="E52" s="7" t="s">
        <v>60</v>
      </c>
      <c r="F52" s="7" t="s">
        <v>96</v>
      </c>
      <c r="G52" s="7" t="s">
        <v>16</v>
      </c>
      <c r="H52" s="7"/>
      <c r="I52" s="7" t="s">
        <v>228</v>
      </c>
      <c r="J52" s="7" t="n">
        <v>1</v>
      </c>
      <c r="K52" s="7"/>
      <c r="L52" s="7" t="s">
        <v>243</v>
      </c>
      <c r="M52" s="7"/>
    </row>
    <row r="53" customFormat="false" ht="15" hidden="false" customHeight="false" outlineLevel="0" collapsed="false">
      <c r="A53" s="7" t="s">
        <v>254</v>
      </c>
      <c r="B53" s="7" t="s">
        <v>255</v>
      </c>
      <c r="C53" s="7" t="s">
        <v>245</v>
      </c>
      <c r="D53" s="7" t="s">
        <v>256</v>
      </c>
      <c r="E53" s="7" t="s">
        <v>77</v>
      </c>
      <c r="F53" s="7" t="s">
        <v>96</v>
      </c>
      <c r="G53" s="7" t="s">
        <v>16</v>
      </c>
      <c r="H53" s="7"/>
      <c r="I53" s="7" t="s">
        <v>228</v>
      </c>
      <c r="J53" s="7" t="n">
        <v>4</v>
      </c>
      <c r="K53" s="7"/>
      <c r="L53" s="7" t="s">
        <v>243</v>
      </c>
      <c r="M53" s="7" t="s">
        <v>257</v>
      </c>
    </row>
    <row r="54" customFormat="false" ht="15" hidden="false" customHeight="false" outlineLevel="0" collapsed="false">
      <c r="A54" s="7" t="s">
        <v>258</v>
      </c>
      <c r="B54" s="7" t="s">
        <v>259</v>
      </c>
      <c r="C54" s="7" t="s">
        <v>245</v>
      </c>
      <c r="D54" s="7" t="s">
        <v>256</v>
      </c>
      <c r="E54" s="7" t="s">
        <v>60</v>
      </c>
      <c r="F54" s="7" t="s">
        <v>96</v>
      </c>
      <c r="G54" s="7" t="s">
        <v>16</v>
      </c>
      <c r="H54" s="7"/>
      <c r="I54" s="7" t="s">
        <v>228</v>
      </c>
      <c r="J54" s="7" t="n">
        <v>3</v>
      </c>
      <c r="K54" s="7"/>
      <c r="L54" s="7" t="s">
        <v>243</v>
      </c>
      <c r="M54" s="7"/>
    </row>
    <row r="55" customFormat="false" ht="15" hidden="false" customHeight="false" outlineLevel="0" collapsed="false">
      <c r="A55" s="7" t="s">
        <v>260</v>
      </c>
      <c r="B55" s="7" t="s">
        <v>261</v>
      </c>
      <c r="C55" s="7" t="s">
        <v>221</v>
      </c>
      <c r="D55" s="7" t="s">
        <v>262</v>
      </c>
      <c r="E55" s="7" t="s">
        <v>77</v>
      </c>
      <c r="F55" s="7" t="s">
        <v>96</v>
      </c>
      <c r="G55" s="7" t="s">
        <v>16</v>
      </c>
      <c r="H55" s="7"/>
      <c r="I55" s="7" t="s">
        <v>263</v>
      </c>
      <c r="J55" s="7" t="n">
        <v>5</v>
      </c>
      <c r="K55" s="7"/>
      <c r="L55" s="7" t="s">
        <v>79</v>
      </c>
      <c r="M55" s="7" t="s">
        <v>264</v>
      </c>
    </row>
    <row r="56" customFormat="false" ht="15" hidden="false" customHeight="false" outlineLevel="0" collapsed="false">
      <c r="A56" s="7" t="s">
        <v>265</v>
      </c>
      <c r="B56" s="7" t="s">
        <v>266</v>
      </c>
      <c r="C56" s="7" t="s">
        <v>221</v>
      </c>
      <c r="D56" s="7" t="s">
        <v>267</v>
      </c>
      <c r="E56" s="7" t="s">
        <v>77</v>
      </c>
      <c r="F56" s="7" t="s">
        <v>96</v>
      </c>
      <c r="G56" s="7" t="s">
        <v>16</v>
      </c>
      <c r="H56" s="7"/>
      <c r="I56" s="7" t="s">
        <v>263</v>
      </c>
      <c r="J56" s="7" t="n">
        <v>8</v>
      </c>
      <c r="K56" s="7"/>
      <c r="L56" s="7" t="s">
        <v>79</v>
      </c>
      <c r="M56" s="7" t="s">
        <v>268</v>
      </c>
    </row>
    <row r="57" customFormat="false" ht="15" hidden="false" customHeight="false" outlineLevel="0" collapsed="false">
      <c r="A57" s="7" t="s">
        <v>269</v>
      </c>
      <c r="B57" s="7" t="s">
        <v>270</v>
      </c>
      <c r="C57" s="7" t="s">
        <v>221</v>
      </c>
      <c r="D57" s="7" t="s">
        <v>271</v>
      </c>
      <c r="E57" s="7" t="s">
        <v>60</v>
      </c>
      <c r="F57" s="7" t="s">
        <v>96</v>
      </c>
      <c r="G57" s="7" t="s">
        <v>16</v>
      </c>
      <c r="H57" s="7"/>
      <c r="I57" s="7" t="s">
        <v>263</v>
      </c>
      <c r="J57" s="7" t="n">
        <v>5</v>
      </c>
      <c r="K57" s="7"/>
      <c r="L57" s="7" t="s">
        <v>265</v>
      </c>
      <c r="M57" s="7"/>
    </row>
    <row r="58" customFormat="false" ht="15" hidden="false" customHeight="false" outlineLevel="0" collapsed="false">
      <c r="A58" s="7" t="s">
        <v>272</v>
      </c>
      <c r="B58" s="7" t="s">
        <v>273</v>
      </c>
      <c r="C58" s="7" t="s">
        <v>274</v>
      </c>
      <c r="D58" s="7" t="s">
        <v>275</v>
      </c>
      <c r="E58" s="7" t="s">
        <v>60</v>
      </c>
      <c r="F58" s="7" t="s">
        <v>96</v>
      </c>
      <c r="G58" s="7" t="s">
        <v>16</v>
      </c>
      <c r="H58" s="7"/>
      <c r="I58" s="7" t="s">
        <v>263</v>
      </c>
      <c r="J58" s="7" t="n">
        <v>2</v>
      </c>
      <c r="K58" s="7"/>
      <c r="L58" s="7" t="s">
        <v>152</v>
      </c>
      <c r="M58" s="7" t="s">
        <v>276</v>
      </c>
    </row>
    <row r="59" customFormat="false" ht="15" hidden="false" customHeight="false" outlineLevel="0" collapsed="false">
      <c r="A59" s="7" t="s">
        <v>277</v>
      </c>
      <c r="B59" s="7" t="s">
        <v>278</v>
      </c>
      <c r="C59" s="7" t="s">
        <v>274</v>
      </c>
      <c r="D59" s="7" t="s">
        <v>279</v>
      </c>
      <c r="E59" s="7" t="s">
        <v>77</v>
      </c>
      <c r="F59" s="7" t="s">
        <v>96</v>
      </c>
      <c r="G59" s="7" t="s">
        <v>16</v>
      </c>
      <c r="H59" s="7"/>
      <c r="I59" s="7" t="s">
        <v>280</v>
      </c>
      <c r="J59" s="7" t="n">
        <v>4</v>
      </c>
      <c r="K59" s="7"/>
      <c r="L59" s="7" t="s">
        <v>272</v>
      </c>
      <c r="M59" s="7"/>
    </row>
    <row r="60" customFormat="false" ht="15" hidden="false" customHeight="false" outlineLevel="0" collapsed="false">
      <c r="A60" s="7" t="s">
        <v>281</v>
      </c>
      <c r="B60" s="7" t="s">
        <v>282</v>
      </c>
      <c r="C60" s="7" t="s">
        <v>274</v>
      </c>
      <c r="D60" s="7" t="s">
        <v>283</v>
      </c>
      <c r="E60" s="7" t="s">
        <v>60</v>
      </c>
      <c r="F60" s="7" t="s">
        <v>96</v>
      </c>
      <c r="G60" s="7" t="s">
        <v>16</v>
      </c>
      <c r="H60" s="7"/>
      <c r="I60" s="7" t="s">
        <v>280</v>
      </c>
      <c r="J60" s="7" t="n">
        <v>2</v>
      </c>
      <c r="K60" s="7"/>
      <c r="L60" s="7" t="s">
        <v>272</v>
      </c>
      <c r="M60" s="7"/>
    </row>
    <row r="61" customFormat="false" ht="15" hidden="false" customHeight="false" outlineLevel="0" collapsed="false">
      <c r="A61" s="7" t="s">
        <v>284</v>
      </c>
      <c r="B61" s="7" t="s">
        <v>285</v>
      </c>
      <c r="C61" s="7" t="s">
        <v>274</v>
      </c>
      <c r="D61" s="7" t="s">
        <v>286</v>
      </c>
      <c r="E61" s="7" t="s">
        <v>60</v>
      </c>
      <c r="F61" s="7" t="s">
        <v>96</v>
      </c>
      <c r="G61" s="7" t="s">
        <v>16</v>
      </c>
      <c r="H61" s="7"/>
      <c r="I61" s="7" t="s">
        <v>280</v>
      </c>
      <c r="J61" s="7" t="n">
        <v>2</v>
      </c>
      <c r="K61" s="7"/>
      <c r="L61" s="7" t="s">
        <v>272</v>
      </c>
      <c r="M61" s="7"/>
    </row>
    <row r="62" customFormat="false" ht="15" hidden="false" customHeight="false" outlineLevel="0" collapsed="false">
      <c r="A62" s="7" t="s">
        <v>287</v>
      </c>
      <c r="B62" s="7" t="s">
        <v>288</v>
      </c>
      <c r="C62" s="7" t="s">
        <v>274</v>
      </c>
      <c r="D62" s="7" t="s">
        <v>289</v>
      </c>
      <c r="E62" s="7" t="s">
        <v>77</v>
      </c>
      <c r="F62" s="7" t="s">
        <v>151</v>
      </c>
      <c r="G62" s="7" t="s">
        <v>16</v>
      </c>
      <c r="H62" s="7"/>
      <c r="I62" s="7" t="s">
        <v>280</v>
      </c>
      <c r="J62" s="7" t="n">
        <v>2</v>
      </c>
      <c r="K62" s="7"/>
      <c r="L62" s="7"/>
      <c r="M62" s="7" t="s">
        <v>290</v>
      </c>
    </row>
    <row r="63" customFormat="false" ht="15" hidden="false" customHeight="false" outlineLevel="0" collapsed="false">
      <c r="A63" s="7" t="s">
        <v>291</v>
      </c>
      <c r="B63" s="7" t="s">
        <v>292</v>
      </c>
      <c r="C63" s="7" t="s">
        <v>293</v>
      </c>
      <c r="D63" s="7" t="s">
        <v>294</v>
      </c>
      <c r="E63" s="7" t="s">
        <v>60</v>
      </c>
      <c r="F63" s="7" t="s">
        <v>96</v>
      </c>
      <c r="G63" s="7" t="s">
        <v>16</v>
      </c>
      <c r="H63" s="7"/>
      <c r="I63" s="7" t="s">
        <v>280</v>
      </c>
      <c r="J63" s="7" t="n">
        <v>3</v>
      </c>
      <c r="K63" s="7"/>
      <c r="L63" s="7" t="s">
        <v>109</v>
      </c>
      <c r="M63" s="7"/>
    </row>
    <row r="64" customFormat="false" ht="15" hidden="false" customHeight="false" outlineLevel="0" collapsed="false">
      <c r="A64" s="7" t="s">
        <v>295</v>
      </c>
      <c r="B64" s="7" t="s">
        <v>296</v>
      </c>
      <c r="C64" s="7" t="s">
        <v>293</v>
      </c>
      <c r="D64" s="7" t="s">
        <v>297</v>
      </c>
      <c r="E64" s="7" t="s">
        <v>77</v>
      </c>
      <c r="F64" s="7" t="s">
        <v>96</v>
      </c>
      <c r="G64" s="7" t="s">
        <v>16</v>
      </c>
      <c r="H64" s="7"/>
      <c r="I64" s="7" t="s">
        <v>280</v>
      </c>
      <c r="J64" s="7" t="n">
        <v>5</v>
      </c>
      <c r="K64" s="7"/>
      <c r="L64" s="7" t="s">
        <v>291</v>
      </c>
      <c r="M64" s="7" t="s">
        <v>298</v>
      </c>
    </row>
    <row r="65" customFormat="false" ht="15" hidden="false" customHeight="false" outlineLevel="0" collapsed="false">
      <c r="A65" s="7" t="s">
        <v>299</v>
      </c>
      <c r="B65" s="7" t="s">
        <v>300</v>
      </c>
      <c r="C65" s="7" t="s">
        <v>293</v>
      </c>
      <c r="D65" s="7" t="s">
        <v>112</v>
      </c>
      <c r="E65" s="7" t="s">
        <v>60</v>
      </c>
      <c r="F65" s="7" t="s">
        <v>96</v>
      </c>
      <c r="G65" s="7" t="s">
        <v>16</v>
      </c>
      <c r="H65" s="7"/>
      <c r="I65" s="7" t="s">
        <v>280</v>
      </c>
      <c r="J65" s="7" t="n">
        <v>2</v>
      </c>
      <c r="K65" s="7"/>
      <c r="L65" s="7" t="s">
        <v>291</v>
      </c>
      <c r="M65" s="7"/>
    </row>
    <row r="66" customFormat="false" ht="15" hidden="false" customHeight="false" outlineLevel="0" collapsed="false">
      <c r="A66" s="7" t="s">
        <v>301</v>
      </c>
      <c r="B66" s="7" t="s">
        <v>302</v>
      </c>
      <c r="C66" s="7" t="s">
        <v>303</v>
      </c>
      <c r="D66" s="7" t="s">
        <v>304</v>
      </c>
      <c r="E66" s="7" t="s">
        <v>77</v>
      </c>
      <c r="F66" s="7" t="s">
        <v>151</v>
      </c>
      <c r="G66" s="7" t="s">
        <v>16</v>
      </c>
      <c r="H66" s="7"/>
      <c r="I66" s="7" t="s">
        <v>305</v>
      </c>
      <c r="J66" s="7" t="n">
        <v>2</v>
      </c>
      <c r="K66" s="7"/>
      <c r="L66" s="7" t="s">
        <v>79</v>
      </c>
      <c r="M66" s="7"/>
    </row>
    <row r="67" customFormat="false" ht="15" hidden="false" customHeight="false" outlineLevel="0" collapsed="false">
      <c r="A67" s="7" t="s">
        <v>306</v>
      </c>
      <c r="B67" s="7" t="s">
        <v>307</v>
      </c>
      <c r="C67" s="7" t="s">
        <v>308</v>
      </c>
      <c r="D67" s="7" t="s">
        <v>309</v>
      </c>
      <c r="E67" s="7" t="s">
        <v>77</v>
      </c>
      <c r="F67" s="7" t="s">
        <v>151</v>
      </c>
      <c r="G67" s="7" t="s">
        <v>16</v>
      </c>
      <c r="H67" s="7"/>
      <c r="I67" s="7" t="s">
        <v>305</v>
      </c>
      <c r="J67" s="7" t="n">
        <v>4</v>
      </c>
      <c r="K67" s="7"/>
      <c r="L67" s="7" t="s">
        <v>109</v>
      </c>
      <c r="M67" s="7"/>
    </row>
    <row r="68" customFormat="false" ht="15" hidden="false" customHeight="false" outlineLevel="0" collapsed="false">
      <c r="A68" s="7" t="s">
        <v>310</v>
      </c>
      <c r="B68" s="7" t="s">
        <v>311</v>
      </c>
      <c r="C68" s="7" t="s">
        <v>308</v>
      </c>
      <c r="D68" s="7" t="s">
        <v>312</v>
      </c>
      <c r="E68" s="7" t="s">
        <v>60</v>
      </c>
      <c r="F68" s="7" t="s">
        <v>151</v>
      </c>
      <c r="G68" s="7" t="s">
        <v>16</v>
      </c>
      <c r="H68" s="7"/>
      <c r="I68" s="7" t="s">
        <v>305</v>
      </c>
      <c r="J68" s="7" t="n">
        <v>2</v>
      </c>
      <c r="K68" s="7"/>
      <c r="L68" s="7" t="s">
        <v>109</v>
      </c>
      <c r="M68" s="7"/>
    </row>
    <row r="69" customFormat="false" ht="15" hidden="false" customHeight="false" outlineLevel="0" collapsed="false">
      <c r="A69" s="7" t="s">
        <v>313</v>
      </c>
      <c r="B69" s="7" t="s">
        <v>314</v>
      </c>
      <c r="C69" s="7" t="s">
        <v>245</v>
      </c>
      <c r="D69" s="7" t="s">
        <v>315</v>
      </c>
      <c r="E69" s="7" t="s">
        <v>77</v>
      </c>
      <c r="F69" s="7" t="s">
        <v>151</v>
      </c>
      <c r="G69" s="7" t="s">
        <v>16</v>
      </c>
      <c r="H69" s="7"/>
      <c r="I69" s="7" t="s">
        <v>305</v>
      </c>
      <c r="J69" s="7" t="n">
        <v>3</v>
      </c>
      <c r="K69" s="7"/>
      <c r="L69" s="7" t="s">
        <v>243</v>
      </c>
      <c r="M69" s="7"/>
    </row>
    <row r="70" customFormat="false" ht="15" hidden="false" customHeight="false" outlineLevel="0" collapsed="false">
      <c r="A70" s="7" t="s">
        <v>316</v>
      </c>
      <c r="B70" s="7" t="s">
        <v>317</v>
      </c>
      <c r="C70" s="7" t="s">
        <v>318</v>
      </c>
      <c r="D70" s="7" t="s">
        <v>319</v>
      </c>
      <c r="E70" s="7" t="s">
        <v>60</v>
      </c>
      <c r="F70" s="7" t="s">
        <v>151</v>
      </c>
      <c r="G70" s="7" t="s">
        <v>16</v>
      </c>
      <c r="H70" s="7"/>
      <c r="I70" s="7" t="s">
        <v>305</v>
      </c>
      <c r="J70" s="7" t="n">
        <v>2</v>
      </c>
      <c r="K70" s="7"/>
      <c r="L70" s="7"/>
      <c r="M70" s="7" t="s">
        <v>320</v>
      </c>
    </row>
    <row r="71" customFormat="false" ht="15" hidden="false" customHeight="false" outlineLevel="0" collapsed="false">
      <c r="A71" s="7" t="s">
        <v>321</v>
      </c>
      <c r="B71" s="7" t="s">
        <v>322</v>
      </c>
      <c r="C71" s="7" t="s">
        <v>274</v>
      </c>
      <c r="D71" s="7" t="s">
        <v>323</v>
      </c>
      <c r="E71" s="7" t="s">
        <v>77</v>
      </c>
      <c r="F71" s="7" t="s">
        <v>151</v>
      </c>
      <c r="G71" s="7" t="s">
        <v>16</v>
      </c>
      <c r="H71" s="7"/>
      <c r="I71" s="7" t="s">
        <v>305</v>
      </c>
      <c r="J71" s="7" t="n">
        <v>3</v>
      </c>
      <c r="K71" s="7"/>
      <c r="L71" s="7"/>
      <c r="M71" s="7" t="s">
        <v>324</v>
      </c>
    </row>
    <row r="72" customFormat="false" ht="15" hidden="false" customHeight="false" outlineLevel="0" collapsed="false">
      <c r="A72" s="7" t="s">
        <v>325</v>
      </c>
      <c r="B72" s="7" t="s">
        <v>326</v>
      </c>
      <c r="C72" s="7" t="s">
        <v>327</v>
      </c>
      <c r="D72" s="7" t="s">
        <v>323</v>
      </c>
      <c r="E72" s="7" t="s">
        <v>77</v>
      </c>
      <c r="F72" s="7" t="s">
        <v>328</v>
      </c>
      <c r="G72" s="7" t="s">
        <v>16</v>
      </c>
      <c r="H72" s="7"/>
      <c r="I72" s="7" t="s">
        <v>305</v>
      </c>
      <c r="J72" s="7" t="n">
        <v>1</v>
      </c>
      <c r="K72" s="7"/>
      <c r="L72" s="7"/>
      <c r="M72" s="7" t="s">
        <v>329</v>
      </c>
    </row>
    <row r="73" customFormat="false" ht="15" hidden="false" customHeight="false" outlineLevel="0" collapsed="false">
      <c r="A73" s="7" t="s">
        <v>330</v>
      </c>
      <c r="B73" s="7" t="s">
        <v>331</v>
      </c>
      <c r="C73" s="7" t="s">
        <v>332</v>
      </c>
      <c r="D73" s="7" t="s">
        <v>323</v>
      </c>
      <c r="E73" s="7" t="s">
        <v>77</v>
      </c>
      <c r="F73" s="7" t="s">
        <v>151</v>
      </c>
      <c r="G73" s="7" t="s">
        <v>16</v>
      </c>
      <c r="H73" s="7"/>
      <c r="I73" s="7" t="s">
        <v>305</v>
      </c>
      <c r="J73" s="7" t="n">
        <v>2</v>
      </c>
      <c r="K73" s="7"/>
      <c r="L73" s="7"/>
      <c r="M73" s="7" t="s">
        <v>333</v>
      </c>
    </row>
    <row r="74" customFormat="false" ht="15" hidden="false" customHeight="false" outlineLevel="0" collapsed="false">
      <c r="A74" s="7" t="s">
        <v>334</v>
      </c>
      <c r="B74" s="7" t="s">
        <v>335</v>
      </c>
      <c r="C74" s="7" t="s">
        <v>336</v>
      </c>
      <c r="D74" s="7" t="s">
        <v>323</v>
      </c>
      <c r="E74" s="7" t="s">
        <v>77</v>
      </c>
      <c r="F74" s="7" t="s">
        <v>328</v>
      </c>
      <c r="G74" s="7" t="s">
        <v>16</v>
      </c>
      <c r="H74" s="7"/>
      <c r="I74" s="7" t="s">
        <v>305</v>
      </c>
      <c r="J74" s="7" t="n">
        <v>2</v>
      </c>
      <c r="K74" s="7"/>
      <c r="L74" s="7"/>
      <c r="M74" s="7" t="s">
        <v>337</v>
      </c>
    </row>
    <row r="75" customFormat="false" ht="15" hidden="false" customHeight="false" outlineLevel="0" collapsed="false">
      <c r="A75" s="7" t="s">
        <v>338</v>
      </c>
      <c r="B75" s="7" t="s">
        <v>339</v>
      </c>
      <c r="C75" s="7" t="s">
        <v>340</v>
      </c>
      <c r="D75" s="7" t="s">
        <v>341</v>
      </c>
      <c r="E75" s="7" t="s">
        <v>340</v>
      </c>
      <c r="F75" s="7" t="s">
        <v>51</v>
      </c>
      <c r="G75" s="7" t="s">
        <v>16</v>
      </c>
      <c r="H75" s="7"/>
      <c r="I75" s="7" t="s">
        <v>342</v>
      </c>
      <c r="J75" s="7" t="n">
        <v>5</v>
      </c>
      <c r="K75" s="7"/>
      <c r="L75" s="7"/>
      <c r="M75" s="7" t="s">
        <v>343</v>
      </c>
    </row>
    <row r="76" customFormat="false" ht="15" hidden="false" customHeight="false" outlineLevel="0" collapsed="false">
      <c r="A76" s="7" t="s">
        <v>344</v>
      </c>
      <c r="B76" s="7" t="s">
        <v>345</v>
      </c>
      <c r="C76" s="7" t="s">
        <v>340</v>
      </c>
      <c r="D76" s="7" t="s">
        <v>341</v>
      </c>
      <c r="E76" s="7" t="s">
        <v>340</v>
      </c>
      <c r="F76" s="7" t="s">
        <v>51</v>
      </c>
      <c r="G76" s="7" t="s">
        <v>16</v>
      </c>
      <c r="H76" s="7"/>
      <c r="I76" s="7" t="s">
        <v>342</v>
      </c>
      <c r="J76" s="7" t="n">
        <v>4</v>
      </c>
      <c r="K76" s="7"/>
      <c r="L76" s="7" t="s">
        <v>152</v>
      </c>
      <c r="M76" s="7"/>
    </row>
    <row r="77" customFormat="false" ht="15" hidden="false" customHeight="false" outlineLevel="0" collapsed="false">
      <c r="A77" s="7" t="s">
        <v>346</v>
      </c>
      <c r="B77" s="7" t="s">
        <v>347</v>
      </c>
      <c r="C77" s="7" t="s">
        <v>340</v>
      </c>
      <c r="D77" s="7" t="s">
        <v>341</v>
      </c>
      <c r="E77" s="7" t="s">
        <v>340</v>
      </c>
      <c r="F77" s="7" t="s">
        <v>51</v>
      </c>
      <c r="G77" s="7" t="s">
        <v>16</v>
      </c>
      <c r="H77" s="7"/>
      <c r="I77" s="7" t="s">
        <v>342</v>
      </c>
      <c r="J77" s="7" t="n">
        <v>5</v>
      </c>
      <c r="K77" s="7"/>
      <c r="L77" s="7"/>
      <c r="M77" s="7" t="s">
        <v>348</v>
      </c>
    </row>
    <row r="78" customFormat="false" ht="15" hidden="false" customHeight="false" outlineLevel="0" collapsed="false">
      <c r="A78" s="7" t="s">
        <v>349</v>
      </c>
      <c r="B78" s="7" t="s">
        <v>350</v>
      </c>
      <c r="C78" s="7" t="s">
        <v>340</v>
      </c>
      <c r="D78" s="7" t="s">
        <v>341</v>
      </c>
      <c r="E78" s="7" t="s">
        <v>340</v>
      </c>
      <c r="F78" s="7" t="s">
        <v>96</v>
      </c>
      <c r="G78" s="7" t="s">
        <v>16</v>
      </c>
      <c r="H78" s="7"/>
      <c r="I78" s="7" t="s">
        <v>342</v>
      </c>
      <c r="J78" s="7" t="n">
        <v>3</v>
      </c>
      <c r="K78" s="7"/>
      <c r="L78" s="7"/>
      <c r="M78" s="7" t="s">
        <v>351</v>
      </c>
    </row>
    <row r="79" customFormat="false" ht="15" hidden="false" customHeight="false" outlineLevel="0" collapsed="false">
      <c r="A79" s="7" t="s">
        <v>352</v>
      </c>
      <c r="B79" s="7" t="s">
        <v>353</v>
      </c>
      <c r="C79" s="7" t="s">
        <v>340</v>
      </c>
      <c r="D79" s="7" t="s">
        <v>354</v>
      </c>
      <c r="E79" s="7" t="s">
        <v>340</v>
      </c>
      <c r="F79" s="7" t="s">
        <v>51</v>
      </c>
      <c r="G79" s="7" t="s">
        <v>16</v>
      </c>
      <c r="H79" s="7"/>
      <c r="I79" s="7" t="s">
        <v>342</v>
      </c>
      <c r="J79" s="7" t="n">
        <v>3</v>
      </c>
      <c r="K79" s="7"/>
      <c r="L79" s="7"/>
      <c r="M79" s="7"/>
    </row>
    <row r="80" customFormat="false" ht="15" hidden="false" customHeight="false" outlineLevel="0" collapsed="false">
      <c r="A80" s="7" t="s">
        <v>355</v>
      </c>
      <c r="B80" s="7" t="s">
        <v>356</v>
      </c>
      <c r="C80" s="7" t="s">
        <v>340</v>
      </c>
      <c r="D80" s="7" t="s">
        <v>357</v>
      </c>
      <c r="E80" s="7" t="s">
        <v>340</v>
      </c>
      <c r="F80" s="7" t="s">
        <v>51</v>
      </c>
      <c r="G80" s="7" t="s">
        <v>16</v>
      </c>
      <c r="H80" s="7"/>
      <c r="I80" s="7" t="s">
        <v>342</v>
      </c>
      <c r="J80" s="7" t="n">
        <v>5</v>
      </c>
      <c r="K80" s="7"/>
      <c r="L80" s="7"/>
      <c r="M80" s="7"/>
    </row>
    <row r="81" customFormat="false" ht="15" hidden="false" customHeight="false" outlineLevel="0" collapsed="false">
      <c r="A81" s="7" t="s">
        <v>358</v>
      </c>
      <c r="B81" s="7" t="s">
        <v>359</v>
      </c>
      <c r="C81" s="7" t="s">
        <v>340</v>
      </c>
      <c r="D81" s="7"/>
      <c r="E81" s="7" t="s">
        <v>360</v>
      </c>
      <c r="F81" s="7" t="s">
        <v>51</v>
      </c>
      <c r="G81" s="7" t="s">
        <v>16</v>
      </c>
      <c r="H81" s="7"/>
      <c r="I81" s="7" t="s">
        <v>342</v>
      </c>
      <c r="J81" s="7" t="n">
        <v>5</v>
      </c>
      <c r="K81" s="7"/>
      <c r="L81" s="7" t="s">
        <v>355</v>
      </c>
      <c r="M81" s="7"/>
    </row>
    <row r="82" customFormat="false" ht="15" hidden="false" customHeight="false" outlineLevel="0" collapsed="false">
      <c r="A82" s="7" t="s">
        <v>361</v>
      </c>
      <c r="B82" s="7" t="s">
        <v>362</v>
      </c>
      <c r="C82" s="7" t="s">
        <v>363</v>
      </c>
      <c r="D82" s="7" t="s">
        <v>364</v>
      </c>
      <c r="E82" s="7" t="s">
        <v>340</v>
      </c>
      <c r="F82" s="7" t="s">
        <v>51</v>
      </c>
      <c r="G82" s="7" t="s">
        <v>16</v>
      </c>
      <c r="H82" s="7"/>
      <c r="I82" s="7" t="s">
        <v>365</v>
      </c>
      <c r="J82" s="7" t="n">
        <v>10</v>
      </c>
      <c r="K82" s="7"/>
      <c r="L82" s="7" t="s">
        <v>358</v>
      </c>
      <c r="M82" s="7"/>
    </row>
    <row r="83" customFormat="false" ht="15" hidden="false" customHeight="false" outlineLevel="0" collapsed="false">
      <c r="A83" s="7" t="s">
        <v>366</v>
      </c>
      <c r="B83" s="7" t="s">
        <v>367</v>
      </c>
      <c r="C83" s="7" t="s">
        <v>363</v>
      </c>
      <c r="D83" s="7" t="s">
        <v>364</v>
      </c>
      <c r="E83" s="7" t="s">
        <v>368</v>
      </c>
      <c r="F83" s="7" t="s">
        <v>51</v>
      </c>
      <c r="G83" s="7" t="s">
        <v>16</v>
      </c>
      <c r="H83" s="7"/>
      <c r="I83" s="7" t="s">
        <v>365</v>
      </c>
      <c r="J83" s="7" t="n">
        <v>3</v>
      </c>
      <c r="K83" s="7"/>
      <c r="L83" s="7" t="s">
        <v>355</v>
      </c>
      <c r="M83" s="7" t="s">
        <v>369</v>
      </c>
    </row>
    <row r="84" customFormat="false" ht="15" hidden="false" customHeight="false" outlineLevel="0" collapsed="false">
      <c r="A84" s="7" t="s">
        <v>370</v>
      </c>
      <c r="B84" s="7" t="s">
        <v>371</v>
      </c>
      <c r="C84" s="7" t="s">
        <v>49</v>
      </c>
      <c r="D84" s="7" t="s">
        <v>50</v>
      </c>
      <c r="E84" s="7" t="s">
        <v>368</v>
      </c>
      <c r="F84" s="7" t="s">
        <v>96</v>
      </c>
      <c r="G84" s="7" t="s">
        <v>16</v>
      </c>
      <c r="H84" s="7"/>
      <c r="I84" s="7" t="s">
        <v>365</v>
      </c>
      <c r="J84" s="7" t="n">
        <v>2</v>
      </c>
      <c r="K84" s="7"/>
      <c r="L84" s="7"/>
      <c r="M84" s="7"/>
    </row>
    <row r="85" customFormat="false" ht="15" hidden="false" customHeight="false" outlineLevel="0" collapsed="false">
      <c r="A85" s="7" t="s">
        <v>372</v>
      </c>
      <c r="B85" s="7" t="s">
        <v>373</v>
      </c>
      <c r="C85" s="7" t="s">
        <v>49</v>
      </c>
      <c r="D85" s="7" t="s">
        <v>319</v>
      </c>
      <c r="E85" s="7" t="s">
        <v>49</v>
      </c>
      <c r="F85" s="7" t="s">
        <v>51</v>
      </c>
      <c r="G85" s="7" t="s">
        <v>16</v>
      </c>
      <c r="H85" s="7"/>
      <c r="I85" s="7" t="s">
        <v>365</v>
      </c>
      <c r="J85" s="7" t="n">
        <v>2</v>
      </c>
      <c r="K85" s="7"/>
      <c r="L85" s="7"/>
      <c r="M85" s="7" t="s">
        <v>374</v>
      </c>
    </row>
    <row r="86" customFormat="false" ht="15" hidden="false" customHeight="false" outlineLevel="0" collapsed="false">
      <c r="A86" s="7" t="s">
        <v>375</v>
      </c>
      <c r="B86" s="7" t="s">
        <v>376</v>
      </c>
      <c r="C86" s="7" t="s">
        <v>49</v>
      </c>
      <c r="D86" s="7" t="s">
        <v>50</v>
      </c>
      <c r="E86" s="7" t="s">
        <v>49</v>
      </c>
      <c r="F86" s="7" t="s">
        <v>51</v>
      </c>
      <c r="G86" s="7" t="s">
        <v>16</v>
      </c>
      <c r="H86" s="7"/>
      <c r="I86" s="7" t="s">
        <v>365</v>
      </c>
      <c r="J86" s="7" t="n">
        <v>2</v>
      </c>
      <c r="K86" s="7"/>
      <c r="L86" s="7"/>
      <c r="M86" s="7" t="s">
        <v>377</v>
      </c>
    </row>
    <row r="87" customFormat="false" ht="15" hidden="false" customHeight="false" outlineLevel="0" collapsed="false">
      <c r="A87" s="7" t="s">
        <v>378</v>
      </c>
      <c r="B87" s="7" t="s">
        <v>379</v>
      </c>
      <c r="C87" s="7" t="s">
        <v>363</v>
      </c>
      <c r="D87" s="7" t="s">
        <v>380</v>
      </c>
      <c r="E87" s="7" t="s">
        <v>49</v>
      </c>
      <c r="F87" s="7" t="s">
        <v>51</v>
      </c>
      <c r="G87" s="7" t="s">
        <v>16</v>
      </c>
      <c r="H87" s="7"/>
      <c r="I87" s="7" t="s">
        <v>365</v>
      </c>
      <c r="J87" s="7" t="n">
        <v>2</v>
      </c>
      <c r="K87" s="7"/>
      <c r="L87" s="7" t="s">
        <v>361</v>
      </c>
      <c r="M87" s="7" t="s">
        <v>381</v>
      </c>
    </row>
    <row r="88" customFormat="false" ht="15" hidden="false" customHeight="false" outlineLevel="0" collapsed="false">
      <c r="A88" s="7" t="s">
        <v>382</v>
      </c>
      <c r="B88" s="7" t="s">
        <v>383</v>
      </c>
      <c r="C88" s="7" t="s">
        <v>363</v>
      </c>
      <c r="D88" s="7" t="s">
        <v>380</v>
      </c>
      <c r="E88" s="7" t="s">
        <v>360</v>
      </c>
      <c r="F88" s="7" t="s">
        <v>51</v>
      </c>
      <c r="G88" s="7" t="s">
        <v>16</v>
      </c>
      <c r="H88" s="7"/>
      <c r="I88" s="7" t="s">
        <v>365</v>
      </c>
      <c r="J88" s="7" t="n">
        <v>5</v>
      </c>
      <c r="K88" s="7"/>
      <c r="L88" s="7" t="s">
        <v>378</v>
      </c>
      <c r="M88" s="7"/>
    </row>
    <row r="89" customFormat="false" ht="15" hidden="false" customHeight="false" outlineLevel="0" collapsed="false">
      <c r="A89" s="7" t="s">
        <v>384</v>
      </c>
      <c r="B89" s="7" t="s">
        <v>385</v>
      </c>
      <c r="C89" s="7" t="s">
        <v>386</v>
      </c>
      <c r="D89" s="7" t="s">
        <v>387</v>
      </c>
      <c r="E89" s="7" t="s">
        <v>360</v>
      </c>
      <c r="F89" s="7" t="s">
        <v>51</v>
      </c>
      <c r="G89" s="7" t="s">
        <v>16</v>
      </c>
      <c r="H89" s="7"/>
      <c r="I89" s="7" t="s">
        <v>388</v>
      </c>
      <c r="J89" s="7" t="n">
        <v>3</v>
      </c>
      <c r="K89" s="7"/>
      <c r="L89" s="7" t="s">
        <v>378</v>
      </c>
      <c r="M89" s="7" t="s">
        <v>389</v>
      </c>
    </row>
    <row r="90" customFormat="false" ht="15" hidden="false" customHeight="false" outlineLevel="0" collapsed="false">
      <c r="A90" s="7" t="s">
        <v>390</v>
      </c>
      <c r="B90" s="7" t="s">
        <v>391</v>
      </c>
      <c r="C90" s="7" t="s">
        <v>386</v>
      </c>
      <c r="D90" s="7"/>
      <c r="E90" s="7" t="s">
        <v>368</v>
      </c>
      <c r="F90" s="7" t="s">
        <v>96</v>
      </c>
      <c r="G90" s="7" t="s">
        <v>16</v>
      </c>
      <c r="H90" s="7"/>
      <c r="I90" s="7" t="s">
        <v>388</v>
      </c>
      <c r="J90" s="7" t="n">
        <v>2</v>
      </c>
      <c r="K90" s="7"/>
      <c r="L90" s="7"/>
      <c r="M90" s="7"/>
    </row>
    <row r="91" customFormat="false" ht="15" hidden="false" customHeight="false" outlineLevel="0" collapsed="false">
      <c r="A91" s="7" t="s">
        <v>392</v>
      </c>
      <c r="B91" s="7" t="s">
        <v>393</v>
      </c>
      <c r="C91" s="7" t="s">
        <v>386</v>
      </c>
      <c r="D91" s="7" t="s">
        <v>394</v>
      </c>
      <c r="E91" s="7" t="s">
        <v>368</v>
      </c>
      <c r="F91" s="7" t="s">
        <v>151</v>
      </c>
      <c r="G91" s="7" t="s">
        <v>16</v>
      </c>
      <c r="H91" s="7"/>
      <c r="I91" s="7" t="s">
        <v>388</v>
      </c>
      <c r="J91" s="7" t="n">
        <v>2</v>
      </c>
      <c r="K91" s="7"/>
      <c r="L91" s="7"/>
      <c r="M91" s="7"/>
    </row>
    <row r="92" customFormat="false" ht="15" hidden="false" customHeight="false" outlineLevel="0" collapsed="false">
      <c r="A92" s="7" t="s">
        <v>395</v>
      </c>
      <c r="B92" s="7" t="s">
        <v>396</v>
      </c>
      <c r="C92" s="7" t="s">
        <v>397</v>
      </c>
      <c r="D92" s="7" t="s">
        <v>398</v>
      </c>
      <c r="E92" s="7" t="s">
        <v>368</v>
      </c>
      <c r="F92" s="7" t="s">
        <v>51</v>
      </c>
      <c r="G92" s="7" t="s">
        <v>16</v>
      </c>
      <c r="H92" s="7"/>
      <c r="I92" s="7" t="s">
        <v>388</v>
      </c>
      <c r="J92" s="7" t="n">
        <v>1</v>
      </c>
      <c r="K92" s="7"/>
      <c r="L92" s="7" t="s">
        <v>384</v>
      </c>
      <c r="M92" s="7"/>
    </row>
    <row r="93" customFormat="false" ht="15" hidden="false" customHeight="false" outlineLevel="0" collapsed="false">
      <c r="A93" s="7" t="s">
        <v>399</v>
      </c>
      <c r="B93" s="7" t="s">
        <v>400</v>
      </c>
      <c r="C93" s="7" t="s">
        <v>397</v>
      </c>
      <c r="D93" s="7" t="s">
        <v>401</v>
      </c>
      <c r="E93" s="7" t="s">
        <v>368</v>
      </c>
      <c r="F93" s="7" t="s">
        <v>51</v>
      </c>
      <c r="G93" s="7" t="s">
        <v>16</v>
      </c>
      <c r="H93" s="7"/>
      <c r="I93" s="7" t="s">
        <v>388</v>
      </c>
      <c r="J93" s="7" t="n">
        <v>2</v>
      </c>
      <c r="K93" s="7"/>
      <c r="L93" s="7"/>
      <c r="M93" s="7"/>
    </row>
  </sheetData>
  <conditionalFormatting sqref="G2:G9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"Doing"</formula>
    </cfRule>
    <cfRule type="cellIs" priority="5" operator="equal" aboveAverage="0" equalAverage="0" bottom="0" percent="0" rank="0" text="" dxfId="3">
      <formula>"Review"</formula>
    </cfRule>
  </conditionalFormatting>
  <dataValidations count="4">
    <dataValidation allowBlank="true" errorStyle="stop" operator="between" showDropDown="false" showErrorMessage="false" showInputMessage="false" sqref="G2:G500" type="list">
      <formula1>"Todo,Ready,Doing,Review,Done,Blocked"</formula1>
      <formula2>0</formula2>
    </dataValidation>
    <dataValidation allowBlank="true" errorStyle="stop" operator="between" showDropDown="false" showErrorMessage="false" showInputMessage="false" sqref="F2:F500" type="list">
      <formula1>"P0,P1,P2,P3"</formula1>
      <formula2>0</formula2>
    </dataValidation>
    <dataValidation allowBlank="true" errorStyle="stop" operator="between" showDropDown="false" showErrorMessage="false" showInputMessage="false" sqref="E2:E500" type="list">
      <formula1>"Frontend,Backend,Both,DevOps,Doc,QA"</formula1>
      <formula2>0</formula2>
    </dataValidation>
    <dataValidation allowBlank="true" errorStyle="stop" operator="between" showDropDown="false" showErrorMessage="false" showInputMessage="false" sqref="C2:C500" type="list">
      <formula1>"Auth,Permission,Order,HH Engine,CR,Adjustment,Auto Rule,Pay Cycle,Customer,Service,Notification,Integration,Admin,Dashboard,Income,Ranking,Shift,Handover,Onboarding,Analytics,DB,DevOps,QA,Compliance,Launch,Stabilization,Acceptance"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402</v>
      </c>
      <c r="B1" s="1"/>
      <c r="C1" s="1"/>
      <c r="D1" s="1"/>
      <c r="E1" s="1"/>
    </row>
    <row r="3" customFormat="false" ht="15" hidden="false" customHeight="false" outlineLevel="0" collapsed="false">
      <c r="A3" s="4" t="s">
        <v>403</v>
      </c>
    </row>
    <row r="5" customFormat="false" ht="15" hidden="false" customHeight="false" outlineLevel="0" collapsed="false">
      <c r="A5" s="5" t="s">
        <v>42</v>
      </c>
      <c r="B5" s="5" t="s">
        <v>6</v>
      </c>
      <c r="C5" s="5" t="s">
        <v>404</v>
      </c>
      <c r="D5" s="5" t="s">
        <v>405</v>
      </c>
      <c r="E5" s="5" t="s">
        <v>406</v>
      </c>
      <c r="F5" s="5" t="s">
        <v>407</v>
      </c>
    </row>
    <row r="6" customFormat="false" ht="15" hidden="false" customHeight="false" outlineLevel="0" collapsed="false">
      <c r="A6" s="7" t="s">
        <v>52</v>
      </c>
      <c r="B6" s="7" t="s">
        <v>408</v>
      </c>
      <c r="C6" s="7" t="s">
        <v>409</v>
      </c>
      <c r="D6" s="7" t="s">
        <v>410</v>
      </c>
      <c r="E6" s="7" t="s">
        <v>411</v>
      </c>
      <c r="F6" s="7" t="s">
        <v>412</v>
      </c>
    </row>
    <row r="7" customFormat="false" ht="15" hidden="false" customHeight="false" outlineLevel="0" collapsed="false">
      <c r="A7" s="7" t="s">
        <v>73</v>
      </c>
      <c r="B7" s="7" t="s">
        <v>413</v>
      </c>
      <c r="C7" s="7" t="s">
        <v>414</v>
      </c>
      <c r="D7" s="7" t="s">
        <v>415</v>
      </c>
      <c r="E7" s="7" t="s">
        <v>416</v>
      </c>
      <c r="F7" s="7" t="s">
        <v>412</v>
      </c>
    </row>
    <row r="8" customFormat="false" ht="23.85" hidden="false" customHeight="false" outlineLevel="0" collapsed="false">
      <c r="A8" s="7" t="s">
        <v>105</v>
      </c>
      <c r="B8" s="7" t="s">
        <v>417</v>
      </c>
      <c r="C8" s="7" t="s">
        <v>418</v>
      </c>
      <c r="D8" s="7" t="s">
        <v>419</v>
      </c>
      <c r="E8" s="7" t="s">
        <v>420</v>
      </c>
      <c r="F8" s="7" t="s">
        <v>421</v>
      </c>
    </row>
    <row r="9" customFormat="false" ht="23.85" hidden="false" customHeight="false" outlineLevel="0" collapsed="false">
      <c r="A9" s="7" t="s">
        <v>130</v>
      </c>
      <c r="B9" s="7" t="s">
        <v>422</v>
      </c>
      <c r="C9" s="7" t="s">
        <v>423</v>
      </c>
      <c r="D9" s="7" t="s">
        <v>424</v>
      </c>
      <c r="E9" s="7" t="s">
        <v>425</v>
      </c>
      <c r="F9" s="7" t="s">
        <v>421</v>
      </c>
    </row>
    <row r="10" customFormat="false" ht="23.85" hidden="false" customHeight="false" outlineLevel="0" collapsed="false">
      <c r="A10" s="7" t="s">
        <v>155</v>
      </c>
      <c r="B10" s="7" t="s">
        <v>426</v>
      </c>
      <c r="C10" s="7" t="s">
        <v>427</v>
      </c>
      <c r="D10" s="7" t="s">
        <v>428</v>
      </c>
      <c r="E10" s="7" t="s">
        <v>429</v>
      </c>
      <c r="F10" s="7" t="s">
        <v>430</v>
      </c>
    </row>
    <row r="11" customFormat="false" ht="23.85" hidden="false" customHeight="false" outlineLevel="0" collapsed="false">
      <c r="A11" s="7" t="s">
        <v>181</v>
      </c>
      <c r="B11" s="7" t="s">
        <v>431</v>
      </c>
      <c r="C11" s="7" t="s">
        <v>432</v>
      </c>
      <c r="D11" s="7" t="s">
        <v>433</v>
      </c>
      <c r="E11" s="7" t="s">
        <v>434</v>
      </c>
      <c r="F11" s="7" t="s">
        <v>430</v>
      </c>
    </row>
    <row r="12" customFormat="false" ht="15" hidden="false" customHeight="false" outlineLevel="0" collapsed="false">
      <c r="A12" s="7" t="s">
        <v>228</v>
      </c>
      <c r="B12" s="7" t="s">
        <v>435</v>
      </c>
      <c r="C12" s="7" t="s">
        <v>436</v>
      </c>
      <c r="D12" s="7" t="s">
        <v>437</v>
      </c>
      <c r="E12" s="7" t="s">
        <v>438</v>
      </c>
      <c r="F12" s="7" t="s">
        <v>439</v>
      </c>
    </row>
    <row r="13" customFormat="false" ht="23.85" hidden="false" customHeight="false" outlineLevel="0" collapsed="false">
      <c r="A13" s="7" t="s">
        <v>263</v>
      </c>
      <c r="B13" s="7" t="s">
        <v>440</v>
      </c>
      <c r="C13" s="7" t="s">
        <v>441</v>
      </c>
      <c r="D13" s="7" t="s">
        <v>442</v>
      </c>
      <c r="E13" s="7" t="s">
        <v>443</v>
      </c>
      <c r="F13" s="7" t="s">
        <v>439</v>
      </c>
    </row>
    <row r="14" customFormat="false" ht="15" hidden="false" customHeight="false" outlineLevel="0" collapsed="false">
      <c r="A14" s="7" t="s">
        <v>280</v>
      </c>
      <c r="B14" s="7" t="s">
        <v>444</v>
      </c>
      <c r="C14" s="7" t="s">
        <v>445</v>
      </c>
      <c r="D14" s="7" t="s">
        <v>446</v>
      </c>
      <c r="E14" s="7" t="s">
        <v>447</v>
      </c>
      <c r="F14" s="7" t="s">
        <v>448</v>
      </c>
    </row>
    <row r="15" customFormat="false" ht="23.85" hidden="false" customHeight="false" outlineLevel="0" collapsed="false">
      <c r="A15" s="7" t="s">
        <v>305</v>
      </c>
      <c r="B15" s="7" t="s">
        <v>449</v>
      </c>
      <c r="C15" s="7" t="s">
        <v>450</v>
      </c>
      <c r="D15" s="7" t="s">
        <v>451</v>
      </c>
      <c r="E15" s="7" t="s">
        <v>452</v>
      </c>
      <c r="F15" s="7" t="s">
        <v>448</v>
      </c>
    </row>
    <row r="16" customFormat="false" ht="15" hidden="false" customHeight="false" outlineLevel="0" collapsed="false">
      <c r="A16" s="7" t="s">
        <v>342</v>
      </c>
      <c r="B16" s="7" t="s">
        <v>453</v>
      </c>
      <c r="C16" s="7" t="s">
        <v>454</v>
      </c>
      <c r="D16" s="7" t="s">
        <v>455</v>
      </c>
      <c r="E16" s="7" t="s">
        <v>456</v>
      </c>
      <c r="F16" s="7" t="s">
        <v>457</v>
      </c>
    </row>
    <row r="17" customFormat="false" ht="23.85" hidden="false" customHeight="false" outlineLevel="0" collapsed="false">
      <c r="A17" s="7" t="s">
        <v>365</v>
      </c>
      <c r="B17" s="7" t="s">
        <v>458</v>
      </c>
      <c r="C17" s="7" t="s">
        <v>459</v>
      </c>
      <c r="D17" s="7" t="s">
        <v>460</v>
      </c>
      <c r="E17" s="7" t="s">
        <v>461</v>
      </c>
      <c r="F17" s="7" t="s">
        <v>457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30"/>
    <col collapsed="false" customWidth="true" hidden="false" outlineLevel="0" max="9" min="8" style="0" width="25"/>
    <col collapsed="false" customWidth="true" hidden="false" outlineLevel="0" max="13" min="10" style="0" width="12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462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6.85" hidden="false" customHeight="false" outlineLevel="0" collapsed="false">
      <c r="A3" s="5" t="s">
        <v>463</v>
      </c>
      <c r="B3" s="5" t="s">
        <v>464</v>
      </c>
      <c r="C3" s="5" t="s">
        <v>465</v>
      </c>
      <c r="D3" s="5" t="s">
        <v>466</v>
      </c>
      <c r="E3" s="5" t="s">
        <v>467</v>
      </c>
      <c r="F3" s="5" t="s">
        <v>38</v>
      </c>
      <c r="G3" s="5" t="s">
        <v>468</v>
      </c>
      <c r="H3" s="5" t="s">
        <v>469</v>
      </c>
      <c r="I3" s="5" t="s">
        <v>470</v>
      </c>
      <c r="J3" s="5" t="s">
        <v>9</v>
      </c>
      <c r="K3" s="5" t="s">
        <v>41</v>
      </c>
      <c r="L3" s="5" t="s">
        <v>471</v>
      </c>
      <c r="M3" s="5" t="s">
        <v>472</v>
      </c>
      <c r="N3" s="5" t="s">
        <v>473</v>
      </c>
    </row>
    <row r="4" customFormat="false" ht="35.05" hidden="false" customHeight="false" outlineLevel="0" collapsed="false">
      <c r="A4" s="7" t="s">
        <v>474</v>
      </c>
      <c r="B4" s="7" t="s">
        <v>475</v>
      </c>
      <c r="C4" s="7" t="s">
        <v>151</v>
      </c>
      <c r="D4" s="7" t="s">
        <v>340</v>
      </c>
      <c r="E4" s="7" t="s">
        <v>476</v>
      </c>
      <c r="F4" s="7" t="s">
        <v>66</v>
      </c>
      <c r="G4" s="7" t="s">
        <v>477</v>
      </c>
      <c r="H4" s="7" t="s">
        <v>478</v>
      </c>
      <c r="I4" s="7" t="s">
        <v>479</v>
      </c>
      <c r="J4" s="7" t="s">
        <v>480</v>
      </c>
      <c r="K4" s="7" t="s">
        <v>481</v>
      </c>
      <c r="L4" s="7" t="s">
        <v>482</v>
      </c>
      <c r="M4" s="7"/>
      <c r="N4" s="7"/>
    </row>
  </sheetData>
  <mergeCells count="1">
    <mergeCell ref="A1:N1"/>
  </mergeCells>
  <conditionalFormatting sqref="J4:J500">
    <cfRule type="cellIs" priority="2" operator="equal" aboveAverage="0" equalAverage="0" bottom="0" percent="0" rank="0" text="" dxfId="0">
      <formula>"Closed"</formula>
    </cfRule>
  </conditionalFormatting>
  <conditionalFormatting sqref="C4:C500">
    <cfRule type="cellIs" priority="3" operator="equal" aboveAverage="0" equalAverage="0" bottom="0" percent="0" rank="0" text="" dxfId="1">
      <formula>"P0"</formula>
    </cfRule>
  </conditionalFormatting>
  <dataValidations count="2">
    <dataValidation allowBlank="true" errorStyle="stop" operator="between" showDropDown="false" showErrorMessage="false" showInputMessage="false" sqref="C4:C500" type="list">
      <formula1>"P0,P1,P2,P3"</formula1>
      <formula2>0</formula2>
    </dataValidation>
    <dataValidation allowBlank="true" errorStyle="stop" operator="between" showDropDown="false" showErrorMessage="false" showInputMessage="false" sqref="J4:J500" type="list">
      <formula1>"Open,Investigating,Fixing,Verified,Closed,Won't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17.35" hidden="false" customHeight="false" outlineLevel="0" collapsed="false">
      <c r="A1" s="1" t="s">
        <v>483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5" t="s">
        <v>484</v>
      </c>
      <c r="B3" s="5" t="s">
        <v>485</v>
      </c>
      <c r="C3" s="5" t="s">
        <v>486</v>
      </c>
      <c r="D3" s="5" t="s">
        <v>487</v>
      </c>
      <c r="E3" s="5" t="s">
        <v>488</v>
      </c>
      <c r="F3" s="5" t="s">
        <v>465</v>
      </c>
      <c r="G3" s="5" t="s">
        <v>489</v>
      </c>
      <c r="H3" s="5" t="s">
        <v>490</v>
      </c>
      <c r="I3" s="5" t="s">
        <v>9</v>
      </c>
      <c r="J3" s="5" t="s">
        <v>491</v>
      </c>
      <c r="K3" s="5" t="s">
        <v>492</v>
      </c>
    </row>
    <row r="4" customFormat="false" ht="23.85" hidden="false" customHeight="false" outlineLevel="0" collapsed="false">
      <c r="A4" s="7" t="s">
        <v>493</v>
      </c>
      <c r="B4" s="7" t="s">
        <v>494</v>
      </c>
      <c r="C4" s="7" t="s">
        <v>495</v>
      </c>
      <c r="D4" s="7" t="s">
        <v>496</v>
      </c>
      <c r="E4" s="7" t="s">
        <v>496</v>
      </c>
      <c r="F4" s="7" t="s">
        <v>497</v>
      </c>
      <c r="G4" s="7" t="s">
        <v>498</v>
      </c>
      <c r="H4" s="7" t="s">
        <v>499</v>
      </c>
      <c r="I4" s="7" t="s">
        <v>500</v>
      </c>
      <c r="J4" s="7" t="s">
        <v>501</v>
      </c>
      <c r="K4" s="7"/>
    </row>
    <row r="5" customFormat="false" ht="23.85" hidden="false" customHeight="false" outlineLevel="0" collapsed="false">
      <c r="A5" s="7" t="s">
        <v>502</v>
      </c>
      <c r="B5" s="7" t="s">
        <v>503</v>
      </c>
      <c r="C5" s="7" t="s">
        <v>495</v>
      </c>
      <c r="D5" s="7" t="s">
        <v>496</v>
      </c>
      <c r="E5" s="7" t="s">
        <v>496</v>
      </c>
      <c r="F5" s="7" t="s">
        <v>497</v>
      </c>
      <c r="G5" s="7" t="s">
        <v>504</v>
      </c>
      <c r="H5" s="7" t="s">
        <v>499</v>
      </c>
      <c r="I5" s="7" t="s">
        <v>500</v>
      </c>
      <c r="J5" s="7" t="s">
        <v>501</v>
      </c>
      <c r="K5" s="7"/>
    </row>
    <row r="6" customFormat="false" ht="23.85" hidden="false" customHeight="false" outlineLevel="0" collapsed="false">
      <c r="A6" s="7" t="s">
        <v>505</v>
      </c>
      <c r="B6" s="7" t="s">
        <v>506</v>
      </c>
      <c r="C6" s="7" t="s">
        <v>507</v>
      </c>
      <c r="D6" s="7" t="s">
        <v>508</v>
      </c>
      <c r="E6" s="7" t="s">
        <v>496</v>
      </c>
      <c r="F6" s="7" t="s">
        <v>509</v>
      </c>
      <c r="G6" s="7" t="s">
        <v>510</v>
      </c>
      <c r="H6" s="7" t="s">
        <v>511</v>
      </c>
      <c r="I6" s="7" t="s">
        <v>500</v>
      </c>
      <c r="J6" s="7" t="s">
        <v>501</v>
      </c>
      <c r="K6" s="7"/>
    </row>
    <row r="7" customFormat="false" ht="23.85" hidden="false" customHeight="false" outlineLevel="0" collapsed="false">
      <c r="A7" s="7" t="s">
        <v>512</v>
      </c>
      <c r="B7" s="7" t="s">
        <v>513</v>
      </c>
      <c r="C7" s="7" t="s">
        <v>514</v>
      </c>
      <c r="D7" s="7" t="s">
        <v>515</v>
      </c>
      <c r="E7" s="7" t="s">
        <v>496</v>
      </c>
      <c r="F7" s="7" t="s">
        <v>516</v>
      </c>
      <c r="G7" s="7" t="s">
        <v>517</v>
      </c>
      <c r="H7" s="7" t="s">
        <v>511</v>
      </c>
      <c r="I7" s="7" t="s">
        <v>500</v>
      </c>
      <c r="J7" s="7" t="s">
        <v>501</v>
      </c>
      <c r="K7" s="7"/>
    </row>
    <row r="8" customFormat="false" ht="23.85" hidden="false" customHeight="false" outlineLevel="0" collapsed="false">
      <c r="A8" s="7" t="s">
        <v>518</v>
      </c>
      <c r="B8" s="7" t="s">
        <v>519</v>
      </c>
      <c r="C8" s="7" t="s">
        <v>507</v>
      </c>
      <c r="D8" s="7" t="s">
        <v>508</v>
      </c>
      <c r="E8" s="7" t="s">
        <v>496</v>
      </c>
      <c r="F8" s="7" t="s">
        <v>497</v>
      </c>
      <c r="G8" s="7" t="s">
        <v>520</v>
      </c>
      <c r="H8" s="7" t="s">
        <v>511</v>
      </c>
      <c r="I8" s="7" t="s">
        <v>500</v>
      </c>
      <c r="J8" s="7" t="s">
        <v>501</v>
      </c>
      <c r="K8" s="7"/>
    </row>
    <row r="9" customFormat="false" ht="23.85" hidden="false" customHeight="false" outlineLevel="0" collapsed="false">
      <c r="A9" s="7" t="s">
        <v>521</v>
      </c>
      <c r="B9" s="7" t="s">
        <v>522</v>
      </c>
      <c r="C9" s="7" t="s">
        <v>507</v>
      </c>
      <c r="D9" s="7" t="s">
        <v>508</v>
      </c>
      <c r="E9" s="7" t="s">
        <v>508</v>
      </c>
      <c r="F9" s="7" t="s">
        <v>516</v>
      </c>
      <c r="G9" s="7" t="s">
        <v>523</v>
      </c>
      <c r="H9" s="7" t="s">
        <v>511</v>
      </c>
      <c r="I9" s="7" t="s">
        <v>500</v>
      </c>
      <c r="J9" s="7" t="s">
        <v>501</v>
      </c>
      <c r="K9" s="7"/>
    </row>
    <row r="10" customFormat="false" ht="15" hidden="false" customHeight="false" outlineLevel="0" collapsed="false">
      <c r="A10" s="7" t="s">
        <v>524</v>
      </c>
      <c r="B10" s="7" t="s">
        <v>525</v>
      </c>
      <c r="C10" s="7" t="s">
        <v>526</v>
      </c>
      <c r="D10" s="7" t="s">
        <v>508</v>
      </c>
      <c r="E10" s="7" t="s">
        <v>515</v>
      </c>
      <c r="F10" s="7" t="s">
        <v>527</v>
      </c>
      <c r="G10" s="7" t="s">
        <v>528</v>
      </c>
      <c r="H10" s="7" t="s">
        <v>529</v>
      </c>
      <c r="I10" s="7" t="s">
        <v>500</v>
      </c>
      <c r="J10" s="7" t="s">
        <v>501</v>
      </c>
      <c r="K10" s="7"/>
    </row>
    <row r="11" customFormat="false" ht="23.85" hidden="false" customHeight="false" outlineLevel="0" collapsed="false">
      <c r="A11" s="7" t="s">
        <v>530</v>
      </c>
      <c r="B11" s="7" t="s">
        <v>531</v>
      </c>
      <c r="C11" s="7" t="s">
        <v>495</v>
      </c>
      <c r="D11" s="7" t="s">
        <v>496</v>
      </c>
      <c r="E11" s="7" t="s">
        <v>508</v>
      </c>
      <c r="F11" s="7" t="s">
        <v>516</v>
      </c>
      <c r="G11" s="7" t="s">
        <v>532</v>
      </c>
      <c r="H11" s="7" t="s">
        <v>499</v>
      </c>
      <c r="I11" s="7" t="s">
        <v>500</v>
      </c>
      <c r="J11" s="7" t="s">
        <v>501</v>
      </c>
      <c r="K11" s="7"/>
    </row>
  </sheetData>
  <mergeCells count="1">
    <mergeCell ref="A1:K1"/>
  </mergeCells>
  <conditionalFormatting sqref="I4:I50">
    <cfRule type="cellIs" priority="2" operator="equal" aboveAverage="0" equalAverage="0" bottom="0" percent="0" rank="0" text="" dxfId="0">
      <formula>"Resolved"</formula>
    </cfRule>
  </conditionalFormatting>
  <dataValidations count="2">
    <dataValidation allowBlank="true" errorStyle="stop" operator="between" showDropDown="false" showErrorMessage="false" showInputMessage="false" sqref="F4:F50" type="list">
      <formula1>"LOW,LOW-MEDIUM,MEDIUM,MEDIUM-HIGH,HIGH"</formula1>
      <formula2>0</formula2>
    </dataValidation>
    <dataValidation allowBlank="true" errorStyle="stop" operator="between" showDropDown="false" showErrorMessage="false" showInputMessage="false" sqref="I4:I50" type="list">
      <formula1>"Active,Mitigated,Accepted,Resolved"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5" min="3" style="0" width="3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533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5" t="s">
        <v>534</v>
      </c>
      <c r="B3" s="5" t="s">
        <v>535</v>
      </c>
      <c r="C3" s="5" t="s">
        <v>536</v>
      </c>
      <c r="D3" s="5" t="s">
        <v>537</v>
      </c>
      <c r="E3" s="5" t="s">
        <v>538</v>
      </c>
      <c r="F3" s="5" t="s">
        <v>539</v>
      </c>
      <c r="G3" s="5" t="s">
        <v>540</v>
      </c>
      <c r="H3" s="5" t="s">
        <v>39</v>
      </c>
    </row>
    <row r="4" customFormat="false" ht="35.05" hidden="false" customHeight="false" outlineLevel="0" collapsed="false">
      <c r="A4" s="7" t="s">
        <v>541</v>
      </c>
      <c r="B4" s="7" t="s">
        <v>542</v>
      </c>
      <c r="C4" s="7" t="s">
        <v>543</v>
      </c>
      <c r="D4" s="7" t="s">
        <v>544</v>
      </c>
      <c r="E4" s="7" t="s">
        <v>545</v>
      </c>
      <c r="F4" s="7" t="s">
        <v>499</v>
      </c>
      <c r="G4" s="7" t="s">
        <v>546</v>
      </c>
      <c r="H4" s="7" t="s">
        <v>124</v>
      </c>
    </row>
    <row r="5" customFormat="false" ht="23.85" hidden="false" customHeight="false" outlineLevel="0" collapsed="false">
      <c r="A5" s="7" t="s">
        <v>547</v>
      </c>
      <c r="B5" s="7" t="s">
        <v>548</v>
      </c>
      <c r="C5" s="7" t="s">
        <v>549</v>
      </c>
      <c r="D5" s="7" t="s">
        <v>550</v>
      </c>
      <c r="E5" s="7" t="s">
        <v>551</v>
      </c>
      <c r="F5" s="7" t="s">
        <v>499</v>
      </c>
      <c r="G5" s="7" t="s">
        <v>546</v>
      </c>
      <c r="H5" s="7" t="s">
        <v>552</v>
      </c>
    </row>
    <row r="6" customFormat="false" ht="35.05" hidden="false" customHeight="false" outlineLevel="0" collapsed="false">
      <c r="A6" s="7" t="s">
        <v>553</v>
      </c>
      <c r="B6" s="7" t="s">
        <v>554</v>
      </c>
      <c r="C6" s="7" t="s">
        <v>555</v>
      </c>
      <c r="D6" s="7" t="s">
        <v>556</v>
      </c>
      <c r="E6" s="7" t="s">
        <v>557</v>
      </c>
      <c r="F6" s="7" t="s">
        <v>499</v>
      </c>
      <c r="G6" s="7" t="s">
        <v>558</v>
      </c>
      <c r="H6" s="7" t="s">
        <v>559</v>
      </c>
    </row>
    <row r="7" customFormat="false" ht="23.85" hidden="false" customHeight="false" outlineLevel="0" collapsed="false">
      <c r="A7" s="7" t="s">
        <v>560</v>
      </c>
      <c r="B7" s="7" t="s">
        <v>561</v>
      </c>
      <c r="C7" s="7" t="s">
        <v>562</v>
      </c>
      <c r="D7" s="7" t="s">
        <v>563</v>
      </c>
      <c r="E7" s="7" t="s">
        <v>564</v>
      </c>
      <c r="F7" s="7" t="s">
        <v>499</v>
      </c>
      <c r="G7" s="7" t="s">
        <v>558</v>
      </c>
      <c r="H7" s="7" t="s">
        <v>189</v>
      </c>
    </row>
    <row r="8" customFormat="false" ht="35.05" hidden="false" customHeight="false" outlineLevel="0" collapsed="false">
      <c r="A8" s="7" t="s">
        <v>565</v>
      </c>
      <c r="B8" s="7" t="s">
        <v>566</v>
      </c>
      <c r="C8" s="7" t="s">
        <v>567</v>
      </c>
      <c r="D8" s="7" t="s">
        <v>568</v>
      </c>
      <c r="E8" s="7" t="s">
        <v>569</v>
      </c>
      <c r="F8" s="7" t="s">
        <v>499</v>
      </c>
      <c r="G8" s="7" t="s">
        <v>558</v>
      </c>
      <c r="H8" s="7" t="s">
        <v>275</v>
      </c>
    </row>
    <row r="9" customFormat="false" ht="23.85" hidden="false" customHeight="false" outlineLevel="0" collapsed="false">
      <c r="A9" s="7" t="s">
        <v>570</v>
      </c>
      <c r="B9" s="7" t="s">
        <v>571</v>
      </c>
      <c r="C9" s="7" t="s">
        <v>572</v>
      </c>
      <c r="D9" s="7" t="s">
        <v>573</v>
      </c>
      <c r="E9" s="7" t="s">
        <v>574</v>
      </c>
      <c r="F9" s="7" t="s">
        <v>499</v>
      </c>
      <c r="G9" s="7" t="s">
        <v>558</v>
      </c>
      <c r="H9" s="7" t="s">
        <v>575</v>
      </c>
    </row>
    <row r="10" customFormat="false" ht="23.85" hidden="false" customHeight="false" outlineLevel="0" collapsed="false">
      <c r="A10" s="7" t="s">
        <v>576</v>
      </c>
      <c r="B10" s="7" t="s">
        <v>577</v>
      </c>
      <c r="C10" s="7" t="s">
        <v>578</v>
      </c>
      <c r="D10" s="7" t="s">
        <v>579</v>
      </c>
      <c r="E10" s="7" t="s">
        <v>580</v>
      </c>
      <c r="F10" s="7" t="s">
        <v>499</v>
      </c>
      <c r="G10" s="7" t="s">
        <v>546</v>
      </c>
      <c r="H10" s="7" t="s">
        <v>581</v>
      </c>
    </row>
    <row r="11" customFormat="false" ht="23.85" hidden="false" customHeight="false" outlineLevel="0" collapsed="false">
      <c r="A11" s="7" t="s">
        <v>582</v>
      </c>
      <c r="B11" s="7" t="s">
        <v>583</v>
      </c>
      <c r="C11" s="7" t="s">
        <v>584</v>
      </c>
      <c r="D11" s="7" t="s">
        <v>585</v>
      </c>
      <c r="E11" s="7" t="s">
        <v>586</v>
      </c>
      <c r="F11" s="7" t="s">
        <v>499</v>
      </c>
      <c r="G11" s="7" t="s">
        <v>558</v>
      </c>
      <c r="H11" s="7" t="s">
        <v>587</v>
      </c>
    </row>
    <row r="12" customFormat="false" ht="23.85" hidden="false" customHeight="false" outlineLevel="0" collapsed="false">
      <c r="A12" s="7" t="s">
        <v>588</v>
      </c>
      <c r="B12" s="7" t="s">
        <v>589</v>
      </c>
      <c r="C12" s="7" t="s">
        <v>590</v>
      </c>
      <c r="D12" s="7" t="s">
        <v>591</v>
      </c>
      <c r="E12" s="7" t="s">
        <v>592</v>
      </c>
      <c r="F12" s="7" t="s">
        <v>499</v>
      </c>
      <c r="G12" s="7" t="s">
        <v>558</v>
      </c>
      <c r="H12" s="7" t="s">
        <v>205</v>
      </c>
    </row>
    <row r="13" customFormat="false" ht="23.85" hidden="false" customHeight="false" outlineLevel="0" collapsed="false">
      <c r="A13" s="7" t="s">
        <v>593</v>
      </c>
      <c r="B13" s="7" t="s">
        <v>594</v>
      </c>
      <c r="C13" s="7" t="s">
        <v>595</v>
      </c>
      <c r="D13" s="7" t="s">
        <v>596</v>
      </c>
      <c r="E13" s="7" t="s">
        <v>597</v>
      </c>
      <c r="F13" s="7" t="s">
        <v>499</v>
      </c>
      <c r="G13" s="7" t="s">
        <v>558</v>
      </c>
      <c r="H13" s="7" t="s">
        <v>598</v>
      </c>
    </row>
    <row r="14" customFormat="false" ht="23.85" hidden="false" customHeight="false" outlineLevel="0" collapsed="false">
      <c r="A14" s="7" t="s">
        <v>599</v>
      </c>
      <c r="B14" s="7" t="s">
        <v>600</v>
      </c>
      <c r="C14" s="7" t="s">
        <v>601</v>
      </c>
      <c r="D14" s="7" t="s">
        <v>602</v>
      </c>
      <c r="E14" s="7" t="s">
        <v>603</v>
      </c>
      <c r="F14" s="7" t="s">
        <v>499</v>
      </c>
      <c r="G14" s="7" t="s">
        <v>546</v>
      </c>
      <c r="H14" s="7" t="s">
        <v>201</v>
      </c>
    </row>
    <row r="15" customFormat="false" ht="23.85" hidden="false" customHeight="false" outlineLevel="0" collapsed="false">
      <c r="A15" s="7" t="s">
        <v>604</v>
      </c>
      <c r="B15" s="7" t="s">
        <v>605</v>
      </c>
      <c r="C15" s="7" t="s">
        <v>606</v>
      </c>
      <c r="D15" s="7" t="s">
        <v>607</v>
      </c>
      <c r="E15" s="7" t="s">
        <v>608</v>
      </c>
      <c r="F15" s="7" t="s">
        <v>499</v>
      </c>
      <c r="G15" s="7" t="s">
        <v>558</v>
      </c>
      <c r="H15" s="7" t="s">
        <v>609</v>
      </c>
    </row>
    <row r="16" customFormat="false" ht="23.85" hidden="false" customHeight="false" outlineLevel="0" collapsed="false">
      <c r="A16" s="7" t="s">
        <v>610</v>
      </c>
      <c r="B16" s="7" t="s">
        <v>611</v>
      </c>
      <c r="C16" s="7" t="s">
        <v>612</v>
      </c>
      <c r="D16" s="7" t="s">
        <v>613</v>
      </c>
      <c r="E16" s="7" t="s">
        <v>614</v>
      </c>
      <c r="F16" s="7" t="s">
        <v>499</v>
      </c>
      <c r="G16" s="7" t="s">
        <v>558</v>
      </c>
      <c r="H16" s="7" t="s">
        <v>615</v>
      </c>
    </row>
    <row r="17" customFormat="false" ht="23.85" hidden="false" customHeight="false" outlineLevel="0" collapsed="false">
      <c r="A17" s="7" t="s">
        <v>616</v>
      </c>
      <c r="B17" s="7" t="s">
        <v>617</v>
      </c>
      <c r="C17" s="7" t="s">
        <v>618</v>
      </c>
      <c r="D17" s="7" t="s">
        <v>619</v>
      </c>
      <c r="E17" s="7" t="s">
        <v>620</v>
      </c>
      <c r="F17" s="7" t="s">
        <v>499</v>
      </c>
      <c r="G17" s="7" t="s">
        <v>621</v>
      </c>
      <c r="H17" s="7" t="s">
        <v>622</v>
      </c>
    </row>
    <row r="18" customFormat="false" ht="35.05" hidden="false" customHeight="false" outlineLevel="0" collapsed="false">
      <c r="A18" s="7" t="s">
        <v>623</v>
      </c>
      <c r="B18" s="7" t="s">
        <v>624</v>
      </c>
      <c r="C18" s="7" t="s">
        <v>625</v>
      </c>
      <c r="D18" s="7" t="s">
        <v>626</v>
      </c>
      <c r="E18" s="7" t="s">
        <v>627</v>
      </c>
      <c r="F18" s="7" t="s">
        <v>499</v>
      </c>
      <c r="G18" s="7" t="s">
        <v>558</v>
      </c>
      <c r="H18" s="7" t="s">
        <v>628</v>
      </c>
    </row>
    <row r="19" customFormat="false" ht="23.85" hidden="false" customHeight="false" outlineLevel="0" collapsed="false">
      <c r="A19" s="7" t="s">
        <v>629</v>
      </c>
      <c r="B19" s="7" t="s">
        <v>630</v>
      </c>
      <c r="C19" s="7" t="s">
        <v>631</v>
      </c>
      <c r="D19" s="7" t="s">
        <v>632</v>
      </c>
      <c r="E19" s="7" t="s">
        <v>633</v>
      </c>
      <c r="F19" s="7" t="s">
        <v>499</v>
      </c>
      <c r="G19" s="7" t="s">
        <v>558</v>
      </c>
      <c r="H19" s="7" t="s">
        <v>634</v>
      </c>
    </row>
    <row r="20" customFormat="false" ht="23.85" hidden="false" customHeight="false" outlineLevel="0" collapsed="false">
      <c r="A20" s="7" t="s">
        <v>635</v>
      </c>
      <c r="B20" s="7" t="s">
        <v>636</v>
      </c>
      <c r="C20" s="7" t="s">
        <v>637</v>
      </c>
      <c r="D20" s="7" t="s">
        <v>190</v>
      </c>
      <c r="E20" s="7" t="s">
        <v>638</v>
      </c>
      <c r="F20" s="7" t="s">
        <v>499</v>
      </c>
      <c r="G20" s="7" t="s">
        <v>558</v>
      </c>
      <c r="H20" s="7" t="s">
        <v>189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6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639</v>
      </c>
      <c r="B1" s="1"/>
      <c r="C1" s="1"/>
    </row>
    <row r="3" customFormat="false" ht="15" hidden="false" customHeight="true" outlineLevel="0" collapsed="false">
      <c r="A3" s="8" t="s">
        <v>640</v>
      </c>
      <c r="B3" s="8"/>
      <c r="C3" s="8"/>
    </row>
    <row r="4" customFormat="false" ht="15" hidden="false" customHeight="false" outlineLevel="0" collapsed="false">
      <c r="A4" s="9" t="s">
        <v>9</v>
      </c>
      <c r="B4" s="10" t="s">
        <v>641</v>
      </c>
    </row>
    <row r="5" customFormat="false" ht="15" hidden="false" customHeight="false" outlineLevel="0" collapsed="false">
      <c r="A5" s="9" t="s">
        <v>490</v>
      </c>
      <c r="B5" s="7" t="s">
        <v>499</v>
      </c>
    </row>
    <row r="6" customFormat="false" ht="15" hidden="false" customHeight="false" outlineLevel="0" collapsed="false">
      <c r="A6" s="9" t="s">
        <v>642</v>
      </c>
      <c r="B6" s="7" t="s">
        <v>643</v>
      </c>
    </row>
    <row r="7" customFormat="false" ht="15" hidden="false" customHeight="false" outlineLevel="0" collapsed="false">
      <c r="A7" s="9" t="s">
        <v>644</v>
      </c>
      <c r="B7" s="7" t="s">
        <v>643</v>
      </c>
    </row>
    <row r="8" customFormat="false" ht="15" hidden="false" customHeight="false" outlineLevel="0" collapsed="false">
      <c r="A8" s="9" t="s">
        <v>645</v>
      </c>
      <c r="B8" s="7" t="s">
        <v>643</v>
      </c>
    </row>
    <row r="9" customFormat="false" ht="15" hidden="false" customHeight="false" outlineLevel="0" collapsed="false">
      <c r="A9" s="9" t="s">
        <v>646</v>
      </c>
      <c r="B9" s="7" t="s">
        <v>647</v>
      </c>
    </row>
    <row r="10" customFormat="false" ht="15" hidden="false" customHeight="false" outlineLevel="0" collapsed="false">
      <c r="A10" s="9" t="s">
        <v>648</v>
      </c>
      <c r="B10" s="7" t="s">
        <v>649</v>
      </c>
    </row>
    <row r="11" customFormat="false" ht="15" hidden="false" customHeight="false" outlineLevel="0" collapsed="false">
      <c r="A11" s="9" t="s">
        <v>650</v>
      </c>
      <c r="B11" s="7" t="s">
        <v>651</v>
      </c>
    </row>
    <row r="12" customFormat="false" ht="23.85" hidden="false" customHeight="false" outlineLevel="0" collapsed="false">
      <c r="A12" s="9" t="s">
        <v>652</v>
      </c>
      <c r="B12" s="7" t="s">
        <v>653</v>
      </c>
    </row>
    <row r="13" customFormat="false" ht="15" hidden="false" customHeight="false" outlineLevel="0" collapsed="false">
      <c r="A13" s="9" t="s">
        <v>654</v>
      </c>
      <c r="B13" s="7" t="s">
        <v>655</v>
      </c>
    </row>
    <row r="14" customFormat="false" ht="15" hidden="false" customHeight="false" outlineLevel="0" collapsed="false">
      <c r="A14" s="9" t="s">
        <v>656</v>
      </c>
      <c r="B14" s="7" t="s">
        <v>657</v>
      </c>
    </row>
    <row r="15" customFormat="false" ht="23.85" hidden="false" customHeight="false" outlineLevel="0" collapsed="false">
      <c r="A15" s="9" t="s">
        <v>46</v>
      </c>
      <c r="B15" s="7" t="s">
        <v>658</v>
      </c>
    </row>
    <row r="17" customFormat="false" ht="15" hidden="false" customHeight="true" outlineLevel="0" collapsed="false">
      <c r="A17" s="8" t="s">
        <v>659</v>
      </c>
      <c r="B17" s="8"/>
      <c r="C17" s="8"/>
    </row>
    <row r="18" customFormat="false" ht="15" hidden="false" customHeight="false" outlineLevel="0" collapsed="false">
      <c r="A18" s="9" t="s">
        <v>9</v>
      </c>
      <c r="B18" s="10" t="s">
        <v>660</v>
      </c>
    </row>
    <row r="19" customFormat="false" ht="15" hidden="false" customHeight="false" outlineLevel="0" collapsed="false">
      <c r="A19" s="9" t="s">
        <v>490</v>
      </c>
      <c r="B19" s="7" t="s">
        <v>499</v>
      </c>
    </row>
    <row r="20" customFormat="false" ht="15" hidden="false" customHeight="false" outlineLevel="0" collapsed="false">
      <c r="A20" s="9" t="s">
        <v>661</v>
      </c>
      <c r="B20" s="7" t="s">
        <v>662</v>
      </c>
    </row>
    <row r="21" customFormat="false" ht="15" hidden="false" customHeight="false" outlineLevel="0" collapsed="false">
      <c r="A21" s="9" t="s">
        <v>663</v>
      </c>
      <c r="B21" s="7" t="s">
        <v>664</v>
      </c>
    </row>
    <row r="22" customFormat="false" ht="15" hidden="false" customHeight="false" outlineLevel="0" collapsed="false">
      <c r="A22" s="9" t="s">
        <v>665</v>
      </c>
      <c r="B22" s="7" t="s">
        <v>666</v>
      </c>
    </row>
    <row r="23" customFormat="false" ht="15" hidden="false" customHeight="false" outlineLevel="0" collapsed="false">
      <c r="A23" s="9" t="s">
        <v>667</v>
      </c>
      <c r="B23" s="7" t="s">
        <v>668</v>
      </c>
    </row>
    <row r="24" customFormat="false" ht="15" hidden="false" customHeight="false" outlineLevel="0" collapsed="false">
      <c r="A24" s="9" t="s">
        <v>669</v>
      </c>
      <c r="B24" s="7" t="s">
        <v>668</v>
      </c>
    </row>
    <row r="25" customFormat="false" ht="23.85" hidden="false" customHeight="false" outlineLevel="0" collapsed="false">
      <c r="A25" s="9" t="s">
        <v>670</v>
      </c>
      <c r="B25" s="7" t="s">
        <v>668</v>
      </c>
    </row>
    <row r="26" customFormat="false" ht="15" hidden="false" customHeight="false" outlineLevel="0" collapsed="false">
      <c r="A26" s="9" t="s">
        <v>671</v>
      </c>
      <c r="B26" s="7" t="s">
        <v>668</v>
      </c>
    </row>
    <row r="27" customFormat="false" ht="23.85" hidden="false" customHeight="false" outlineLevel="0" collapsed="false">
      <c r="A27" s="9" t="s">
        <v>672</v>
      </c>
      <c r="B27" s="7" t="s">
        <v>673</v>
      </c>
    </row>
    <row r="28" customFormat="false" ht="15" hidden="false" customHeight="false" outlineLevel="0" collapsed="false">
      <c r="A28" s="9" t="s">
        <v>656</v>
      </c>
      <c r="B28" s="7" t="s">
        <v>674</v>
      </c>
    </row>
    <row r="29" customFormat="false" ht="15" hidden="false" customHeight="false" outlineLevel="0" collapsed="false">
      <c r="A29" s="9" t="s">
        <v>46</v>
      </c>
      <c r="B29" s="7" t="s">
        <v>675</v>
      </c>
    </row>
    <row r="31" customFormat="false" ht="15" hidden="false" customHeight="true" outlineLevel="0" collapsed="false">
      <c r="A31" s="8" t="s">
        <v>676</v>
      </c>
      <c r="B31" s="8"/>
      <c r="C31" s="8"/>
    </row>
    <row r="32" customFormat="false" ht="15" hidden="false" customHeight="false" outlineLevel="0" collapsed="false">
      <c r="A32" s="9" t="s">
        <v>9</v>
      </c>
      <c r="B32" s="11" t="s">
        <v>677</v>
      </c>
    </row>
    <row r="33" customFormat="false" ht="15" hidden="false" customHeight="false" outlineLevel="0" collapsed="false">
      <c r="A33" s="9" t="s">
        <v>490</v>
      </c>
      <c r="B33" s="7" t="s">
        <v>499</v>
      </c>
    </row>
    <row r="34" customFormat="false" ht="15" hidden="false" customHeight="false" outlineLevel="0" collapsed="false">
      <c r="A34" s="9" t="s">
        <v>678</v>
      </c>
      <c r="B34" s="7" t="s">
        <v>649</v>
      </c>
    </row>
    <row r="35" customFormat="false" ht="15" hidden="false" customHeight="false" outlineLevel="0" collapsed="false">
      <c r="A35" s="9" t="s">
        <v>679</v>
      </c>
      <c r="B35" s="7" t="s">
        <v>649</v>
      </c>
    </row>
    <row r="36" customFormat="false" ht="15" hidden="false" customHeight="false" outlineLevel="0" collapsed="false">
      <c r="A36" s="9" t="s">
        <v>680</v>
      </c>
      <c r="B36" s="7" t="s">
        <v>681</v>
      </c>
    </row>
    <row r="37" customFormat="false" ht="15" hidden="false" customHeight="false" outlineLevel="0" collapsed="false">
      <c r="A37" s="9" t="s">
        <v>46</v>
      </c>
      <c r="B37" s="7" t="s">
        <v>682</v>
      </c>
    </row>
    <row r="39" customFormat="false" ht="15" hidden="false" customHeight="true" outlineLevel="0" collapsed="false">
      <c r="A39" s="8" t="s">
        <v>683</v>
      </c>
      <c r="B39" s="8"/>
      <c r="C39" s="8"/>
    </row>
    <row r="40" customFormat="false" ht="15" hidden="false" customHeight="false" outlineLevel="0" collapsed="false">
      <c r="A40" s="9" t="s">
        <v>9</v>
      </c>
      <c r="B40" s="12" t="s">
        <v>684</v>
      </c>
    </row>
    <row r="41" customFormat="false" ht="15" hidden="false" customHeight="false" outlineLevel="0" collapsed="false">
      <c r="A41" s="9" t="s">
        <v>685</v>
      </c>
      <c r="B41" s="7" t="s">
        <v>686</v>
      </c>
    </row>
    <row r="42" customFormat="false" ht="15" hidden="false" customHeight="false" outlineLevel="0" collapsed="false">
      <c r="A42" s="9" t="s">
        <v>85</v>
      </c>
      <c r="B42" s="7" t="s">
        <v>687</v>
      </c>
    </row>
    <row r="43" customFormat="false" ht="15" hidden="false" customHeight="false" outlineLevel="0" collapsed="false">
      <c r="A43" s="9" t="s">
        <v>688</v>
      </c>
      <c r="B43" s="7" t="s">
        <v>689</v>
      </c>
    </row>
    <row r="44" customFormat="false" ht="15" hidden="false" customHeight="false" outlineLevel="0" collapsed="false">
      <c r="A44" s="9" t="s">
        <v>46</v>
      </c>
      <c r="B44" s="7" t="s">
        <v>690</v>
      </c>
    </row>
  </sheetData>
  <mergeCells count="5">
    <mergeCell ref="A1:C1"/>
    <mergeCell ref="A3:C3"/>
    <mergeCell ref="A17:C17"/>
    <mergeCell ref="A31:C31"/>
    <mergeCell ref="A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9" min="2" style="0" width="4"/>
  </cols>
  <sheetData>
    <row r="1" customFormat="false" ht="17.35" hidden="false" customHeight="false" outlineLevel="0" collapsed="false">
      <c r="A1" s="1" t="s">
        <v>691</v>
      </c>
      <c r="B1" s="1"/>
      <c r="C1" s="1"/>
      <c r="D1" s="1"/>
      <c r="E1" s="1"/>
      <c r="F1" s="1"/>
      <c r="G1" s="1"/>
      <c r="H1" s="1"/>
    </row>
    <row r="3" customFormat="false" ht="77.6" hidden="false" customHeight="false" outlineLevel="0" collapsed="false">
      <c r="A3" s="5" t="s">
        <v>407</v>
      </c>
      <c r="B3" s="5" t="s">
        <v>692</v>
      </c>
      <c r="C3" s="5" t="s">
        <v>404</v>
      </c>
      <c r="D3" s="5" t="s">
        <v>693</v>
      </c>
      <c r="E3" s="5" t="s">
        <v>694</v>
      </c>
      <c r="F3" s="5" t="s">
        <v>695</v>
      </c>
      <c r="G3" s="5" t="s">
        <v>696</v>
      </c>
      <c r="H3" s="5" t="s">
        <v>9</v>
      </c>
    </row>
    <row r="4" customFormat="false" ht="124.6" hidden="false" customHeight="false" outlineLevel="0" collapsed="false">
      <c r="A4" s="7" t="s">
        <v>412</v>
      </c>
      <c r="B4" s="7" t="s">
        <v>697</v>
      </c>
      <c r="C4" s="7" t="s">
        <v>698</v>
      </c>
      <c r="D4" s="7" t="n">
        <v>1</v>
      </c>
      <c r="E4" s="7" t="n">
        <v>4</v>
      </c>
      <c r="F4" s="7" t="n">
        <v>4</v>
      </c>
      <c r="G4" s="7" t="s">
        <v>699</v>
      </c>
      <c r="H4" s="7" t="s">
        <v>700</v>
      </c>
    </row>
    <row r="5" customFormat="false" ht="158.2" hidden="false" customHeight="false" outlineLevel="0" collapsed="false">
      <c r="A5" s="7" t="s">
        <v>421</v>
      </c>
      <c r="B5" s="7" t="s">
        <v>701</v>
      </c>
      <c r="C5" s="7" t="s">
        <v>702</v>
      </c>
      <c r="D5" s="7" t="n">
        <v>5</v>
      </c>
      <c r="E5" s="7" t="n">
        <v>8</v>
      </c>
      <c r="F5" s="7" t="n">
        <v>4</v>
      </c>
      <c r="G5" s="7" t="s">
        <v>703</v>
      </c>
      <c r="H5" s="7" t="s">
        <v>700</v>
      </c>
    </row>
    <row r="6" customFormat="false" ht="158.2" hidden="false" customHeight="false" outlineLevel="0" collapsed="false">
      <c r="A6" s="7" t="s">
        <v>430</v>
      </c>
      <c r="B6" s="7" t="s">
        <v>704</v>
      </c>
      <c r="C6" s="7" t="s">
        <v>705</v>
      </c>
      <c r="D6" s="7" t="n">
        <v>9</v>
      </c>
      <c r="E6" s="7" t="n">
        <v>12</v>
      </c>
      <c r="F6" s="7" t="n">
        <v>4</v>
      </c>
      <c r="G6" s="7" t="s">
        <v>706</v>
      </c>
      <c r="H6" s="7" t="s">
        <v>700</v>
      </c>
    </row>
    <row r="7" customFormat="false" ht="147" hidden="false" customHeight="false" outlineLevel="0" collapsed="false">
      <c r="A7" s="7" t="s">
        <v>439</v>
      </c>
      <c r="B7" s="7" t="s">
        <v>707</v>
      </c>
      <c r="C7" s="7" t="s">
        <v>708</v>
      </c>
      <c r="D7" s="7" t="n">
        <v>13</v>
      </c>
      <c r="E7" s="7" t="n">
        <v>16</v>
      </c>
      <c r="F7" s="7" t="n">
        <v>4</v>
      </c>
      <c r="G7" s="7" t="s">
        <v>709</v>
      </c>
      <c r="H7" s="7" t="s">
        <v>700</v>
      </c>
    </row>
    <row r="8" customFormat="false" ht="147" hidden="false" customHeight="false" outlineLevel="0" collapsed="false">
      <c r="A8" s="7" t="s">
        <v>448</v>
      </c>
      <c r="B8" s="7" t="s">
        <v>710</v>
      </c>
      <c r="C8" s="7" t="s">
        <v>711</v>
      </c>
      <c r="D8" s="7" t="n">
        <v>17</v>
      </c>
      <c r="E8" s="7" t="n">
        <v>20</v>
      </c>
      <c r="F8" s="7" t="n">
        <v>4</v>
      </c>
      <c r="G8" s="7" t="s">
        <v>712</v>
      </c>
      <c r="H8" s="7" t="s">
        <v>700</v>
      </c>
    </row>
    <row r="9" customFormat="false" ht="158.2" hidden="false" customHeight="false" outlineLevel="0" collapsed="false">
      <c r="A9" s="7" t="s">
        <v>457</v>
      </c>
      <c r="B9" s="7" t="s">
        <v>459</v>
      </c>
      <c r="C9" s="7" t="s">
        <v>713</v>
      </c>
      <c r="D9" s="7" t="n">
        <v>21</v>
      </c>
      <c r="E9" s="7" t="n">
        <v>24</v>
      </c>
      <c r="F9" s="7" t="n">
        <v>4</v>
      </c>
      <c r="G9" s="7" t="s">
        <v>714</v>
      </c>
      <c r="H9" s="7" t="s">
        <v>700</v>
      </c>
    </row>
    <row r="10" customFormat="false" ht="158.2" hidden="false" customHeight="false" outlineLevel="0" collapsed="false">
      <c r="A10" s="7" t="s">
        <v>715</v>
      </c>
      <c r="B10" s="7" t="s">
        <v>716</v>
      </c>
      <c r="C10" s="7" t="s">
        <v>717</v>
      </c>
      <c r="D10" s="7" t="n">
        <v>25</v>
      </c>
      <c r="E10" s="7" t="n">
        <v>28</v>
      </c>
      <c r="F10" s="7" t="n">
        <v>4</v>
      </c>
      <c r="G10" s="7" t="s">
        <v>718</v>
      </c>
      <c r="H10" s="7" t="s">
        <v>700</v>
      </c>
    </row>
    <row r="12" customFormat="false" ht="15" hidden="false" customHeight="false" outlineLevel="0" collapsed="false">
      <c r="A12" s="3" t="s">
        <v>719</v>
      </c>
    </row>
    <row r="14" customFormat="false" ht="26.85" hidden="false" customHeight="false" outlineLevel="0" collapsed="false">
      <c r="A14" s="5" t="s">
        <v>407</v>
      </c>
      <c r="B14" s="5" t="s">
        <v>720</v>
      </c>
      <c r="C14" s="5" t="s">
        <v>721</v>
      </c>
      <c r="D14" s="5" t="s">
        <v>722</v>
      </c>
      <c r="E14" s="5" t="s">
        <v>723</v>
      </c>
      <c r="F14" s="5" t="s">
        <v>724</v>
      </c>
      <c r="G14" s="5" t="s">
        <v>725</v>
      </c>
      <c r="H14" s="5" t="s">
        <v>726</v>
      </c>
      <c r="I14" s="5" t="s">
        <v>727</v>
      </c>
      <c r="J14" s="5" t="s">
        <v>728</v>
      </c>
      <c r="K14" s="5" t="s">
        <v>729</v>
      </c>
      <c r="L14" s="5" t="s">
        <v>730</v>
      </c>
      <c r="M14" s="5" t="s">
        <v>731</v>
      </c>
      <c r="N14" s="5" t="s">
        <v>732</v>
      </c>
      <c r="O14" s="5" t="s">
        <v>733</v>
      </c>
      <c r="P14" s="5" t="s">
        <v>734</v>
      </c>
      <c r="Q14" s="5" t="s">
        <v>735</v>
      </c>
      <c r="R14" s="5" t="s">
        <v>736</v>
      </c>
      <c r="S14" s="5" t="s">
        <v>737</v>
      </c>
      <c r="T14" s="5" t="s">
        <v>738</v>
      </c>
      <c r="U14" s="5" t="s">
        <v>739</v>
      </c>
      <c r="V14" s="5" t="s">
        <v>740</v>
      </c>
      <c r="W14" s="5" t="s">
        <v>741</v>
      </c>
      <c r="X14" s="5" t="s">
        <v>742</v>
      </c>
      <c r="Y14" s="5" t="s">
        <v>743</v>
      </c>
      <c r="Z14" s="5" t="s">
        <v>744</v>
      </c>
      <c r="AA14" s="5" t="s">
        <v>745</v>
      </c>
      <c r="AB14" s="5" t="s">
        <v>746</v>
      </c>
      <c r="AC14" s="5" t="s">
        <v>747</v>
      </c>
    </row>
    <row r="15" customFormat="false" ht="15" hidden="false" customHeight="false" outlineLevel="0" collapsed="false">
      <c r="A15" s="13" t="s">
        <v>412</v>
      </c>
      <c r="B15" s="14" t="s">
        <v>748</v>
      </c>
      <c r="C15" s="14" t="s">
        <v>748</v>
      </c>
      <c r="D15" s="14" t="s">
        <v>748</v>
      </c>
      <c r="E15" s="14" t="s">
        <v>748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customFormat="false" ht="15" hidden="false" customHeight="false" outlineLevel="0" collapsed="false">
      <c r="A16" s="13" t="s">
        <v>421</v>
      </c>
      <c r="B16" s="15"/>
      <c r="C16" s="15"/>
      <c r="D16" s="15"/>
      <c r="E16" s="15"/>
      <c r="F16" s="14" t="s">
        <v>748</v>
      </c>
      <c r="G16" s="14" t="s">
        <v>748</v>
      </c>
      <c r="H16" s="14" t="s">
        <v>748</v>
      </c>
      <c r="I16" s="14" t="s">
        <v>748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customFormat="false" ht="15" hidden="false" customHeight="false" outlineLevel="0" collapsed="false">
      <c r="A17" s="13" t="s">
        <v>430</v>
      </c>
      <c r="B17" s="15"/>
      <c r="C17" s="15"/>
      <c r="D17" s="15"/>
      <c r="E17" s="15"/>
      <c r="F17" s="15"/>
      <c r="G17" s="15"/>
      <c r="H17" s="15"/>
      <c r="I17" s="15"/>
      <c r="J17" s="14" t="s">
        <v>748</v>
      </c>
      <c r="K17" s="14" t="s">
        <v>748</v>
      </c>
      <c r="L17" s="14" t="s">
        <v>748</v>
      </c>
      <c r="M17" s="14" t="s">
        <v>748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customFormat="false" ht="15" hidden="false" customHeight="false" outlineLevel="0" collapsed="false">
      <c r="A18" s="13" t="s">
        <v>439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4" t="s">
        <v>748</v>
      </c>
      <c r="O18" s="14" t="s">
        <v>748</v>
      </c>
      <c r="P18" s="14" t="s">
        <v>748</v>
      </c>
      <c r="Q18" s="14" t="s">
        <v>748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customFormat="false" ht="15" hidden="false" customHeight="false" outlineLevel="0" collapsed="false">
      <c r="A19" s="13" t="s">
        <v>448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4" t="s">
        <v>748</v>
      </c>
      <c r="S19" s="14" t="s">
        <v>748</v>
      </c>
      <c r="T19" s="14" t="s">
        <v>748</v>
      </c>
      <c r="U19" s="14" t="s">
        <v>748</v>
      </c>
      <c r="V19" s="15"/>
      <c r="W19" s="15"/>
      <c r="X19" s="15"/>
      <c r="Y19" s="15"/>
      <c r="Z19" s="15"/>
      <c r="AA19" s="15"/>
      <c r="AB19" s="15"/>
      <c r="AC19" s="15"/>
    </row>
    <row r="20" customFormat="false" ht="15" hidden="false" customHeight="false" outlineLevel="0" collapsed="false">
      <c r="A20" s="13" t="s">
        <v>457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4" t="s">
        <v>748</v>
      </c>
      <c r="W20" s="14" t="s">
        <v>748</v>
      </c>
      <c r="X20" s="14" t="s">
        <v>748</v>
      </c>
      <c r="Y20" s="14" t="s">
        <v>748</v>
      </c>
      <c r="Z20" s="15"/>
      <c r="AA20" s="15"/>
      <c r="AB20" s="15"/>
      <c r="AC20" s="15"/>
    </row>
    <row r="21" customFormat="false" ht="15" hidden="false" customHeight="false" outlineLevel="0" collapsed="false">
      <c r="A21" s="13" t="s">
        <v>715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4" t="s">
        <v>748</v>
      </c>
      <c r="AA21" s="14" t="s">
        <v>748</v>
      </c>
      <c r="AB21" s="14" t="s">
        <v>748</v>
      </c>
      <c r="AC21" s="14" t="s">
        <v>748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749</v>
      </c>
      <c r="B1" s="1"/>
      <c r="C1" s="1"/>
    </row>
    <row r="3" customFormat="false" ht="15" hidden="false" customHeight="true" outlineLevel="0" collapsed="false">
      <c r="A3" s="8" t="s">
        <v>750</v>
      </c>
      <c r="B3" s="8"/>
      <c r="C3" s="8"/>
    </row>
    <row r="4" customFormat="false" ht="15" hidden="false" customHeight="false" outlineLevel="0" collapsed="false">
      <c r="A4" s="5" t="s">
        <v>751</v>
      </c>
      <c r="B4" s="5" t="s">
        <v>485</v>
      </c>
      <c r="C4" s="5" t="s">
        <v>9</v>
      </c>
    </row>
    <row r="5" customFormat="false" ht="15" hidden="false" customHeight="false" outlineLevel="0" collapsed="false">
      <c r="A5" s="7" t="s">
        <v>752</v>
      </c>
      <c r="B5" s="7" t="s">
        <v>753</v>
      </c>
      <c r="C5" s="7" t="s">
        <v>754</v>
      </c>
    </row>
    <row r="6" customFormat="false" ht="15" hidden="false" customHeight="false" outlineLevel="0" collapsed="false">
      <c r="A6" s="7" t="s">
        <v>755</v>
      </c>
      <c r="B6" s="7" t="s">
        <v>756</v>
      </c>
      <c r="C6" s="7" t="s">
        <v>757</v>
      </c>
    </row>
    <row r="7" customFormat="false" ht="15" hidden="false" customHeight="false" outlineLevel="0" collapsed="false">
      <c r="A7" s="7" t="s">
        <v>758</v>
      </c>
      <c r="B7" s="7" t="s">
        <v>759</v>
      </c>
      <c r="C7" s="7" t="s">
        <v>760</v>
      </c>
    </row>
    <row r="8" customFormat="false" ht="15" hidden="false" customHeight="false" outlineLevel="0" collapsed="false">
      <c r="A8" s="7" t="s">
        <v>761</v>
      </c>
      <c r="B8" s="7" t="s">
        <v>762</v>
      </c>
      <c r="C8" s="7" t="s">
        <v>763</v>
      </c>
    </row>
    <row r="9" customFormat="false" ht="15" hidden="false" customHeight="false" outlineLevel="0" collapsed="false">
      <c r="A9" s="7" t="s">
        <v>764</v>
      </c>
      <c r="B9" s="7" t="s">
        <v>765</v>
      </c>
      <c r="C9" s="7" t="s">
        <v>757</v>
      </c>
    </row>
    <row r="10" customFormat="false" ht="15" hidden="false" customHeight="false" outlineLevel="0" collapsed="false">
      <c r="A10" s="7" t="s">
        <v>766</v>
      </c>
      <c r="B10" s="7" t="s">
        <v>767</v>
      </c>
      <c r="C10" s="7" t="s">
        <v>763</v>
      </c>
    </row>
    <row r="11" customFormat="false" ht="15" hidden="false" customHeight="false" outlineLevel="0" collapsed="false">
      <c r="A11" s="7" t="s">
        <v>768</v>
      </c>
      <c r="B11" s="7" t="s">
        <v>769</v>
      </c>
      <c r="C11" s="7" t="s">
        <v>760</v>
      </c>
    </row>
    <row r="12" customFormat="false" ht="15" hidden="false" customHeight="false" outlineLevel="0" collapsed="false">
      <c r="A12" s="7" t="s">
        <v>770</v>
      </c>
      <c r="B12" s="7" t="s">
        <v>771</v>
      </c>
      <c r="C12" s="7" t="s">
        <v>763</v>
      </c>
    </row>
    <row r="13" customFormat="false" ht="15" hidden="false" customHeight="false" outlineLevel="0" collapsed="false">
      <c r="A13" s="7" t="s">
        <v>772</v>
      </c>
      <c r="B13" s="7" t="s">
        <v>773</v>
      </c>
      <c r="C13" s="7" t="s">
        <v>757</v>
      </c>
    </row>
    <row r="14" customFormat="false" ht="15" hidden="false" customHeight="false" outlineLevel="0" collapsed="false">
      <c r="A14" s="7" t="s">
        <v>774</v>
      </c>
      <c r="B14" s="7" t="s">
        <v>775</v>
      </c>
      <c r="C14" s="7" t="s">
        <v>757</v>
      </c>
    </row>
    <row r="15" customFormat="false" ht="15" hidden="false" customHeight="false" outlineLevel="0" collapsed="false">
      <c r="A15" s="7" t="s">
        <v>776</v>
      </c>
      <c r="B15" s="7" t="s">
        <v>777</v>
      </c>
      <c r="C15" s="7" t="s">
        <v>757</v>
      </c>
    </row>
    <row r="16" customFormat="false" ht="15" hidden="false" customHeight="false" outlineLevel="0" collapsed="false">
      <c r="A16" s="7" t="s">
        <v>778</v>
      </c>
      <c r="B16" s="7" t="s">
        <v>779</v>
      </c>
      <c r="C16" s="7" t="s">
        <v>757</v>
      </c>
    </row>
    <row r="17" customFormat="false" ht="15" hidden="false" customHeight="false" outlineLevel="0" collapsed="false">
      <c r="A17" s="7" t="s">
        <v>780</v>
      </c>
      <c r="B17" s="7" t="s">
        <v>781</v>
      </c>
      <c r="C17" s="7" t="s">
        <v>757</v>
      </c>
    </row>
    <row r="18" customFormat="false" ht="15" hidden="false" customHeight="false" outlineLevel="0" collapsed="false">
      <c r="A18" s="7" t="s">
        <v>782</v>
      </c>
      <c r="B18" s="7" t="s">
        <v>783</v>
      </c>
      <c r="C18" s="7" t="s">
        <v>784</v>
      </c>
    </row>
    <row r="19" customFormat="false" ht="15" hidden="false" customHeight="false" outlineLevel="0" collapsed="false">
      <c r="A19" s="7" t="s">
        <v>785</v>
      </c>
      <c r="B19" s="7" t="s">
        <v>786</v>
      </c>
      <c r="C19" s="7" t="s">
        <v>787</v>
      </c>
    </row>
    <row r="20" customFormat="false" ht="15" hidden="false" customHeight="false" outlineLevel="0" collapsed="false">
      <c r="A20" s="7" t="s">
        <v>788</v>
      </c>
      <c r="B20" s="7" t="s">
        <v>789</v>
      </c>
      <c r="C20" s="7" t="s">
        <v>787</v>
      </c>
    </row>
    <row r="22" customFormat="false" ht="15" hidden="false" customHeight="true" outlineLevel="0" collapsed="false">
      <c r="A22" s="8" t="s">
        <v>790</v>
      </c>
      <c r="B22" s="8"/>
      <c r="C22" s="8"/>
    </row>
    <row r="23" customFormat="false" ht="15" hidden="false" customHeight="false" outlineLevel="0" collapsed="false">
      <c r="A23" s="5" t="s">
        <v>791</v>
      </c>
      <c r="B23" s="5" t="s">
        <v>792</v>
      </c>
      <c r="C23" s="5"/>
    </row>
    <row r="24" customFormat="false" ht="15" hidden="false" customHeight="false" outlineLevel="0" collapsed="false">
      <c r="A24" s="9" t="s">
        <v>793</v>
      </c>
      <c r="B24" s="7" t="s">
        <v>794</v>
      </c>
    </row>
    <row r="25" customFormat="false" ht="15" hidden="false" customHeight="false" outlineLevel="0" collapsed="false">
      <c r="A25" s="9" t="s">
        <v>795</v>
      </c>
      <c r="B25" s="7" t="s">
        <v>796</v>
      </c>
    </row>
    <row r="26" customFormat="false" ht="15" hidden="false" customHeight="false" outlineLevel="0" collapsed="false">
      <c r="A26" s="9" t="s">
        <v>128</v>
      </c>
      <c r="B26" s="7" t="s">
        <v>797</v>
      </c>
    </row>
    <row r="27" customFormat="false" ht="15" hidden="false" customHeight="false" outlineLevel="0" collapsed="false">
      <c r="A27" s="9" t="s">
        <v>798</v>
      </c>
      <c r="B27" s="7" t="s">
        <v>799</v>
      </c>
    </row>
    <row r="28" customFormat="false" ht="15" hidden="false" customHeight="false" outlineLevel="0" collapsed="false">
      <c r="A28" s="9" t="s">
        <v>800</v>
      </c>
      <c r="B28" s="7" t="s">
        <v>801</v>
      </c>
    </row>
    <row r="29" customFormat="false" ht="15" hidden="false" customHeight="false" outlineLevel="0" collapsed="false">
      <c r="A29" s="9" t="s">
        <v>802</v>
      </c>
      <c r="B29" s="7" t="s">
        <v>803</v>
      </c>
    </row>
    <row r="30" customFormat="false" ht="15" hidden="false" customHeight="false" outlineLevel="0" collapsed="false">
      <c r="A30" s="9" t="s">
        <v>804</v>
      </c>
      <c r="B30" s="7" t="s">
        <v>805</v>
      </c>
    </row>
    <row r="31" customFormat="false" ht="15" hidden="false" customHeight="false" outlineLevel="0" collapsed="false">
      <c r="A31" s="9" t="s">
        <v>806</v>
      </c>
      <c r="B31" s="7" t="s">
        <v>807</v>
      </c>
    </row>
    <row r="32" customFormat="false" ht="15" hidden="false" customHeight="false" outlineLevel="0" collapsed="false">
      <c r="A32" s="9" t="s">
        <v>808</v>
      </c>
      <c r="B32" s="7" t="s">
        <v>809</v>
      </c>
    </row>
    <row r="33" customFormat="false" ht="15" hidden="false" customHeight="false" outlineLevel="0" collapsed="false">
      <c r="A33" s="9" t="s">
        <v>810</v>
      </c>
      <c r="B33" s="7" t="s">
        <v>811</v>
      </c>
    </row>
    <row r="34" customFormat="false" ht="15" hidden="false" customHeight="false" outlineLevel="0" collapsed="false">
      <c r="A34" s="9" t="s">
        <v>812</v>
      </c>
      <c r="B34" s="7" t="s">
        <v>813</v>
      </c>
    </row>
    <row r="35" customFormat="false" ht="15" hidden="false" customHeight="false" outlineLevel="0" collapsed="false">
      <c r="A35" s="9" t="s">
        <v>814</v>
      </c>
      <c r="B35" s="7" t="s">
        <v>815</v>
      </c>
    </row>
    <row r="36" customFormat="false" ht="15" hidden="false" customHeight="false" outlineLevel="0" collapsed="false">
      <c r="A36" s="9" t="s">
        <v>816</v>
      </c>
      <c r="B36" s="7" t="s">
        <v>817</v>
      </c>
    </row>
    <row r="37" customFormat="false" ht="15" hidden="false" customHeight="false" outlineLevel="0" collapsed="false">
      <c r="A37" s="9" t="s">
        <v>818</v>
      </c>
      <c r="B37" s="7" t="s">
        <v>819</v>
      </c>
    </row>
    <row r="38" customFormat="false" ht="15" hidden="false" customHeight="false" outlineLevel="0" collapsed="false">
      <c r="A38" s="9" t="s">
        <v>820</v>
      </c>
      <c r="B38" s="7" t="s">
        <v>821</v>
      </c>
    </row>
    <row r="39" customFormat="false" ht="15" hidden="false" customHeight="false" outlineLevel="0" collapsed="false">
      <c r="A39" s="9" t="s">
        <v>822</v>
      </c>
      <c r="B39" s="7" t="s">
        <v>823</v>
      </c>
    </row>
    <row r="40" customFormat="false" ht="15" hidden="false" customHeight="false" outlineLevel="0" collapsed="false">
      <c r="A40" s="9" t="s">
        <v>824</v>
      </c>
      <c r="B40" s="7" t="s">
        <v>825</v>
      </c>
    </row>
    <row r="41" customFormat="false" ht="15" hidden="false" customHeight="false" outlineLevel="0" collapsed="false">
      <c r="A41" s="9" t="s">
        <v>826</v>
      </c>
      <c r="B41" s="7" t="s">
        <v>827</v>
      </c>
    </row>
    <row r="42" customFormat="false" ht="15" hidden="false" customHeight="false" outlineLevel="0" collapsed="false">
      <c r="A42" s="9" t="s">
        <v>828</v>
      </c>
      <c r="B42" s="7" t="s">
        <v>829</v>
      </c>
    </row>
    <row r="43" customFormat="false" ht="15" hidden="false" customHeight="false" outlineLevel="0" collapsed="false">
      <c r="A43" s="9" t="s">
        <v>830</v>
      </c>
      <c r="B43" s="7" t="s">
        <v>831</v>
      </c>
    </row>
    <row r="44" customFormat="false" ht="15" hidden="false" customHeight="false" outlineLevel="0" collapsed="false">
      <c r="A44" s="9" t="s">
        <v>832</v>
      </c>
      <c r="B44" s="7" t="s">
        <v>833</v>
      </c>
    </row>
    <row r="45" customFormat="false" ht="15" hidden="false" customHeight="false" outlineLevel="0" collapsed="false">
      <c r="A45" s="9" t="s">
        <v>834</v>
      </c>
      <c r="B45" s="7" t="s">
        <v>835</v>
      </c>
    </row>
    <row r="46" customFormat="false" ht="15" hidden="false" customHeight="false" outlineLevel="0" collapsed="false">
      <c r="A46" s="9" t="s">
        <v>836</v>
      </c>
      <c r="B46" s="7" t="s">
        <v>837</v>
      </c>
    </row>
    <row r="47" customFormat="false" ht="23.85" hidden="false" customHeight="false" outlineLevel="0" collapsed="false">
      <c r="A47" s="9" t="s">
        <v>838</v>
      </c>
      <c r="B47" s="7" t="s">
        <v>839</v>
      </c>
    </row>
    <row r="49" customFormat="false" ht="15" hidden="false" customHeight="true" outlineLevel="0" collapsed="false">
      <c r="A49" s="8" t="s">
        <v>840</v>
      </c>
      <c r="B49" s="8"/>
      <c r="C49" s="8"/>
    </row>
    <row r="50" customFormat="false" ht="15" hidden="false" customHeight="false" outlineLevel="0" collapsed="false">
      <c r="A50" s="5" t="s">
        <v>841</v>
      </c>
      <c r="B50" s="5" t="s">
        <v>842</v>
      </c>
      <c r="C50" s="5"/>
    </row>
    <row r="51" customFormat="false" ht="15" hidden="false" customHeight="false" outlineLevel="0" collapsed="false">
      <c r="A51" s="7" t="s">
        <v>843</v>
      </c>
      <c r="B51" s="7" t="s">
        <v>844</v>
      </c>
    </row>
    <row r="52" customFormat="false" ht="15" hidden="false" customHeight="false" outlineLevel="0" collapsed="false">
      <c r="A52" s="7" t="s">
        <v>845</v>
      </c>
      <c r="B52" s="7" t="s">
        <v>846</v>
      </c>
    </row>
    <row r="53" customFormat="false" ht="15" hidden="false" customHeight="false" outlineLevel="0" collapsed="false">
      <c r="A53" s="7" t="s">
        <v>847</v>
      </c>
      <c r="B53" s="7" t="s">
        <v>848</v>
      </c>
    </row>
    <row r="54" customFormat="false" ht="15" hidden="false" customHeight="false" outlineLevel="0" collapsed="false">
      <c r="A54" s="7" t="s">
        <v>849</v>
      </c>
      <c r="B54" s="7" t="s">
        <v>647</v>
      </c>
    </row>
    <row r="55" customFormat="false" ht="15" hidden="false" customHeight="false" outlineLevel="0" collapsed="false">
      <c r="A55" s="7" t="s">
        <v>850</v>
      </c>
      <c r="B55" s="7" t="s">
        <v>851</v>
      </c>
    </row>
    <row r="56" customFormat="false" ht="15" hidden="false" customHeight="false" outlineLevel="0" collapsed="false">
      <c r="A56" s="7" t="s">
        <v>852</v>
      </c>
      <c r="B56" s="7" t="s">
        <v>853</v>
      </c>
    </row>
    <row r="57" customFormat="false" ht="15" hidden="false" customHeight="false" outlineLevel="0" collapsed="false">
      <c r="A57" s="7" t="s">
        <v>854</v>
      </c>
      <c r="B57" s="7" t="s">
        <v>855</v>
      </c>
    </row>
    <row r="58" customFormat="false" ht="15" hidden="false" customHeight="false" outlineLevel="0" collapsed="false">
      <c r="A58" s="7" t="s">
        <v>856</v>
      </c>
      <c r="B58" s="7" t="s">
        <v>857</v>
      </c>
    </row>
  </sheetData>
  <mergeCells count="4">
    <mergeCell ref="A1:C1"/>
    <mergeCell ref="A3:C3"/>
    <mergeCell ref="A22:C22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2026-05-06T11:52:40Z</dcterms:created>
  <dc:creator>openpyxl</dc:creator>
  <dc:description/>
  <dc:language>en-US</dc:language>
  <cp:lastModifiedBy/>
  <dcterms:modified xsi:type="dcterms:W3CDTF">2026-05-06T11:52:40Z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